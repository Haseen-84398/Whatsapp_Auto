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e Master" sheetId="1" r:id="rId5"/>
    <sheet state="visible" name="Assessor Master" sheetId="2" r:id="rId6"/>
    <sheet state="visible" name="Assessment Tracker" sheetId="3" r:id="rId7"/>
    <sheet state="visible" name="Sheet2" sheetId="4" r:id="rId8"/>
    <sheet state="visible" name="PMKVY 4.0 " sheetId="5" r:id="rId9"/>
    <sheet state="visible" name="Dashboard" sheetId="6" r:id="rId10"/>
  </sheets>
  <definedNames>
    <definedName name="SchemeList">'Scheme Master'!$B$4:$B$44</definedName>
  </definedNames>
  <calcPr/>
</workbook>
</file>

<file path=xl/sharedStrings.xml><?xml version="1.0" encoding="utf-8"?>
<sst xmlns="http://schemas.openxmlformats.org/spreadsheetml/2006/main" count="1504" uniqueCount="643">
  <si>
    <t>SCHEME MASTER - PER CANDIDATE RATE</t>
  </si>
  <si>
    <t>Sr No.</t>
  </si>
  <si>
    <t>Scheme Name</t>
  </si>
  <si>
    <t>Per Candidate Rate (₹)</t>
  </si>
  <si>
    <t>Description</t>
  </si>
  <si>
    <t>Status</t>
  </si>
  <si>
    <t>PMKVY 4.0</t>
  </si>
  <si>
    <t>Pradhan Mantri Kaushal Vikas Yojana</t>
  </si>
  <si>
    <t>Active</t>
  </si>
  <si>
    <t>DDUGKY</t>
  </si>
  <si>
    <t>Deen Dayal Upadhyaya Grameen Kaushalya Yojana</t>
  </si>
  <si>
    <t>ODOP-RPL</t>
  </si>
  <si>
    <t xml:space="preserve">SSC- Affiliated Scheme </t>
  </si>
  <si>
    <t>BSDMA-RPL</t>
  </si>
  <si>
    <t>PMAY-G-STT</t>
  </si>
  <si>
    <t>VSSY-RPL</t>
  </si>
  <si>
    <t>Suryamitra Skill Development Programme</t>
  </si>
  <si>
    <t>PMAY-G-RPL</t>
  </si>
  <si>
    <t>NON-PMKVY -CSR</t>
  </si>
  <si>
    <t>MESC Fee Based</t>
  </si>
  <si>
    <t>CSDCI Fee Based</t>
  </si>
  <si>
    <t>ITDA-Meity</t>
  </si>
  <si>
    <t>Mahajyoti</t>
  </si>
  <si>
    <t>(Industry)EPCH-RPL</t>
  </si>
  <si>
    <t>CSR</t>
  </si>
  <si>
    <t>FEE BASED LADAKH SCHOOL</t>
  </si>
  <si>
    <t>Fee Based</t>
  </si>
  <si>
    <t>India Skills</t>
  </si>
  <si>
    <t>JSDM</t>
  </si>
  <si>
    <t>KADCO</t>
  </si>
  <si>
    <t>KSP-RPL</t>
  </si>
  <si>
    <t>Kaushal Gurukul Project - Jharkhand</t>
  </si>
  <si>
    <t>Kerala School</t>
  </si>
  <si>
    <t>MeitY</t>
  </si>
  <si>
    <t>MinistryRPL</t>
  </si>
  <si>
    <t>Mukhya Mantri Shram Shakti Yojna</t>
  </si>
  <si>
    <t>NAPS</t>
  </si>
  <si>
    <t>NAPS_Bottom Polisher</t>
  </si>
  <si>
    <t>NAPS_CAD</t>
  </si>
  <si>
    <t>NAPS_Diamond Bruting</t>
  </si>
  <si>
    <t>NAPS_Inclusion Plotter</t>
  </si>
  <si>
    <t>NAPS_Laser Sawing Machine</t>
  </si>
  <si>
    <t>NAPS_Planner</t>
  </si>
  <si>
    <t>NON-NSQF</t>
  </si>
  <si>
    <t>NON-PMKVY</t>
  </si>
  <si>
    <t>PM Vishwakarma</t>
  </si>
  <si>
    <t>PM Vishwakarma-Advance</t>
  </si>
  <si>
    <t>PMKUVA</t>
  </si>
  <si>
    <t>PMKVY-SP-GIF-Mass Employment Jobrole</t>
  </si>
  <si>
    <t>TOT - PMVK-Advance</t>
  </si>
  <si>
    <t>Gems and Jewellery</t>
  </si>
  <si>
    <t>SANKALP</t>
  </si>
  <si>
    <t>SDIS-DDU-GKY</t>
  </si>
  <si>
    <t>SDIS-ORISSA STATE SKILLING SCHEME</t>
  </si>
  <si>
    <t>SKILL HUB INITIATIVE</t>
  </si>
  <si>
    <t>Short Term Training</t>
  </si>
  <si>
    <t>Special Projects</t>
  </si>
  <si>
    <t>SSC Affiliated: Skill Council for Green Jobs</t>
  </si>
  <si>
    <t>TOA</t>
  </si>
  <si>
    <t>TOMA</t>
  </si>
  <si>
    <t>TOMT</t>
  </si>
  <si>
    <t>TOT</t>
  </si>
  <si>
    <t>TOT/TOA</t>
  </si>
  <si>
    <t>VSE-Chhattisgarh</t>
  </si>
  <si>
    <t>VSE-Kerala</t>
  </si>
  <si>
    <t>VSE-Odisha</t>
  </si>
  <si>
    <t>VSE-Punjab</t>
  </si>
  <si>
    <t>VSE-Rajasthan</t>
  </si>
  <si>
    <t>offline- Oct-2025- 003</t>
  </si>
  <si>
    <t>3rd Party</t>
  </si>
  <si>
    <t>ASSESSOR MASTER - ON-ROLL ASSESSORS</t>
  </si>
  <si>
    <t>Assessor Name</t>
  </si>
  <si>
    <t>Assessor ID</t>
  </si>
  <si>
    <t>Sector</t>
  </si>
  <si>
    <t>Phone</t>
  </si>
  <si>
    <t>Email</t>
  </si>
  <si>
    <t xml:space="preserve">Mohd Haseen </t>
  </si>
  <si>
    <t>AR10066</t>
  </si>
  <si>
    <t>IT-ITeS</t>
  </si>
  <si>
    <t>haseen@example.com</t>
  </si>
  <si>
    <t>John Assessor</t>
  </si>
  <si>
    <t>AR10045</t>
  </si>
  <si>
    <t>Healthcare</t>
  </si>
  <si>
    <t>john@example.com</t>
  </si>
  <si>
    <t>Priya Sharma</t>
  </si>
  <si>
    <t>AR10078</t>
  </si>
  <si>
    <t>Electronics</t>
  </si>
  <si>
    <t>priya@example.com</t>
  </si>
  <si>
    <t>Amit Kumar</t>
  </si>
  <si>
    <t>AR10092</t>
  </si>
  <si>
    <t>Retail</t>
  </si>
  <si>
    <t>amit@example.com</t>
  </si>
  <si>
    <t>Neha Singh</t>
  </si>
  <si>
    <t>AR10101</t>
  </si>
  <si>
    <t>Beauty &amp; Wellness</t>
  </si>
  <si>
    <t>neha@example.com</t>
  </si>
  <si>
    <t>Note:</t>
  </si>
  <si>
    <t>Add on-roll assessors here. When an assessor name is entered in the Assessment Tracker, the system auto-detects if they are on-roll. If not found, user must select Freelancer or Special Circumstances.</t>
  </si>
  <si>
    <t>Scheme</t>
  </si>
  <si>
    <t>Batch ID</t>
  </si>
  <si>
    <t>Day</t>
  </si>
  <si>
    <t>Group Status</t>
  </si>
  <si>
    <t>Job Role</t>
  </si>
  <si>
    <t xml:space="preserve">TP Name </t>
  </si>
  <si>
    <t>District</t>
  </si>
  <si>
    <t>State</t>
  </si>
  <si>
    <t>Assessment Start Date</t>
  </si>
  <si>
    <t>Assessment End Date</t>
  </si>
  <si>
    <t>Total Candidates</t>
  </si>
  <si>
    <t>Present</t>
  </si>
  <si>
    <t>Absent</t>
  </si>
  <si>
    <t>Male Count</t>
  </si>
  <si>
    <t>Female Count</t>
  </si>
  <si>
    <t>Passed</t>
  </si>
  <si>
    <t>Failed</t>
  </si>
  <si>
    <t>Result Date</t>
  </si>
  <si>
    <t>Result</t>
  </si>
  <si>
    <t>Pass %</t>
  </si>
  <si>
    <t>Fail %</t>
  </si>
  <si>
    <t>User ID</t>
  </si>
  <si>
    <t>Trainer Name</t>
  </si>
  <si>
    <t>Trainer ID</t>
  </si>
  <si>
    <t>Rate/Candidate (₹)</t>
  </si>
  <si>
    <t>Total Income (₹)</t>
  </si>
  <si>
    <t>Assessor Fee (₹)</t>
  </si>
  <si>
    <t>TA/DA (₹)</t>
  </si>
  <si>
    <t>Total Exp. (₹)</t>
  </si>
  <si>
    <t>Profit/Loss (₹)</t>
  </si>
  <si>
    <t>Expense %</t>
  </si>
  <si>
    <t>Remarks</t>
  </si>
  <si>
    <t>Assessor Aligned By</t>
  </si>
  <si>
    <t>Approved By</t>
  </si>
  <si>
    <t>Approval Date</t>
  </si>
  <si>
    <t>Decision</t>
  </si>
  <si>
    <t>Final Status</t>
  </si>
  <si>
    <t>Assessor Invoice</t>
  </si>
  <si>
    <t>Assessor Expenses Tickets</t>
  </si>
  <si>
    <t>Payment Status</t>
  </si>
  <si>
    <t>Payment Amount</t>
  </si>
  <si>
    <t>Payment Reference ID</t>
  </si>
  <si>
    <t>Payment Mode</t>
  </si>
  <si>
    <t>Payment Slip Uploaded in drive</t>
  </si>
  <si>
    <t>Theory Link</t>
  </si>
  <si>
    <t xml:space="preserve">Practical </t>
  </si>
  <si>
    <t>Viva</t>
  </si>
  <si>
    <t>Day 6</t>
  </si>
  <si>
    <t>Goldsmith (Sunar)( G&amp;J/N0612 )</t>
  </si>
  <si>
    <t xml:space="preserve">LEARNET SKILLS LIMITED </t>
  </si>
  <si>
    <t>SARAN</t>
  </si>
  <si>
    <t>BIHAR</t>
  </si>
  <si>
    <t>Uploaded</t>
  </si>
  <si>
    <t xml:space="preserve">Priyanshu Kumar Tiwari </t>
  </si>
  <si>
    <t>AR164546</t>
  </si>
  <si>
    <t>Prem Kumar Harishankar Prasad Singh</t>
  </si>
  <si>
    <t>TR21465</t>
  </si>
  <si>
    <t>Nisha Saifi</t>
  </si>
  <si>
    <t>Richa Mehta</t>
  </si>
  <si>
    <t>Approved</t>
  </si>
  <si>
    <t>Yes</t>
  </si>
  <si>
    <t>Not Paid</t>
  </si>
  <si>
    <t>https://drive.google.com/drive/folders/11RgGHdXvEN7luxqe-Tvxifm1UIN4WQZl?usp=sharing</t>
  </si>
  <si>
    <t>Normal</t>
  </si>
  <si>
    <t>Green Jobs</t>
  </si>
  <si>
    <t>Solar PV Installer (Suryamitra)(SGJ/Q0101)</t>
  </si>
  <si>
    <t>SAIFI HEALING TOUCH RESEARCH BUREAU FOR SOCIAL WELFARE OF INDIA</t>
  </si>
  <si>
    <t>SRINAGAR</t>
  </si>
  <si>
    <t>JAMMU AND KASHMIR</t>
  </si>
  <si>
    <t>Wajid bashir</t>
  </si>
  <si>
    <t>AR84804</t>
  </si>
  <si>
    <t>Khalda Yousaf</t>
  </si>
  <si>
    <t>TR251247</t>
  </si>
  <si>
    <t>NG MANI COLLEGE</t>
  </si>
  <si>
    <t>IMPHAL EAST</t>
  </si>
  <si>
    <t>MANIPUR</t>
  </si>
  <si>
    <t>Surjit Sapam</t>
  </si>
  <si>
    <t>AR78791</t>
  </si>
  <si>
    <t>Nirmala Yumnam</t>
  </si>
  <si>
    <t>TR386536</t>
  </si>
  <si>
    <t>Construction</t>
  </si>
  <si>
    <t>Brick Mason -Basic( CON/N0160 )</t>
  </si>
  <si>
    <t>TOOL ROOM &amp; TRAINING CENTRE</t>
  </si>
  <si>
    <t>KAMRUP</t>
  </si>
  <si>
    <t>ASSAM</t>
  </si>
  <si>
    <t>Satyajit Dash</t>
  </si>
  <si>
    <t xml:space="preserve">AR113593	</t>
  </si>
  <si>
    <t>Partha Jyoti Sarmah</t>
  </si>
  <si>
    <t>TR633887</t>
  </si>
  <si>
    <t>Harpreet Kaur</t>
  </si>
  <si>
    <t>Day 0</t>
  </si>
  <si>
    <t>Handicraft</t>
  </si>
  <si>
    <t>Traditional Basket Maker( HCS/N9206 )</t>
  </si>
  <si>
    <t>Government ITI, Farrukhabad</t>
  </si>
  <si>
    <t>FARRUKHABAD</t>
  </si>
  <si>
    <t>UTTAR PRADESH</t>
  </si>
  <si>
    <t>Laxmi Tiwari</t>
  </si>
  <si>
    <t>AR135976</t>
  </si>
  <si>
    <t>TR558148</t>
  </si>
  <si>
    <t>Traditional Soft Toy Maker( HCS/N7355 )</t>
  </si>
  <si>
    <t>VISION INDIA SERVICES PRIVATE LIMITED</t>
  </si>
  <si>
    <t>BEGUSARAI</t>
  </si>
  <si>
    <t xml:space="preserve">	Kajal Kumari</t>
  </si>
  <si>
    <t>AR154274</t>
  </si>
  <si>
    <t>TR598635</t>
  </si>
  <si>
    <t>ORION EDUTECH PRIVATE LIMITED</t>
  </si>
  <si>
    <t>DARRANG</t>
  </si>
  <si>
    <t>postpone</t>
  </si>
  <si>
    <t>Postpone</t>
  </si>
  <si>
    <t>Day 1</t>
  </si>
  <si>
    <t>Assistant Electrician V3(CON/Q0602)</t>
  </si>
  <si>
    <t>Lala Kundan Lal  Memorial Training Centre</t>
  </si>
  <si>
    <t>Fatehabad</t>
  </si>
  <si>
    <t>Haryana</t>
  </si>
  <si>
    <t>Mohd Navi</t>
  </si>
  <si>
    <t>AR2351</t>
  </si>
  <si>
    <t>Not Available</t>
  </si>
  <si>
    <t>Government Polytechnic college Bandipora</t>
  </si>
  <si>
    <t>BANDIPORA</t>
  </si>
  <si>
    <t>Mudasir Nisar</t>
  </si>
  <si>
    <t>AR53637</t>
  </si>
  <si>
    <t>Arifa Bashir</t>
  </si>
  <si>
    <t>TR472161</t>
  </si>
  <si>
    <t>Fabricator v5.0(CON/Q1206)</t>
  </si>
  <si>
    <t>Larsen &amp; Toubro Limited</t>
  </si>
  <si>
    <t>MAYURBHANJ</t>
  </si>
  <si>
    <t>Odisha</t>
  </si>
  <si>
    <t>Vishal Verma</t>
  </si>
  <si>
    <t>A-00E1F0</t>
  </si>
  <si>
    <t>Surya prakash Updhyay</t>
  </si>
  <si>
    <t>TR672540</t>
  </si>
  <si>
    <t>goldsmith (Sunar)( G&amp;J/N0612 )</t>
  </si>
  <si>
    <t>Nirmala Yumnam Chanu</t>
  </si>
  <si>
    <t>AR78961</t>
  </si>
  <si>
    <t>Government ITI, Sirathu, Kaushambi</t>
  </si>
  <si>
    <t>KAUSHAMBI</t>
  </si>
  <si>
    <t>Anand Kumar</t>
  </si>
  <si>
    <t>AR153752</t>
  </si>
  <si>
    <t>TR597173</t>
  </si>
  <si>
    <t>Junior Technician - Mechanized Sewer Cleaning(SGJ/Q4006)</t>
  </si>
  <si>
    <t>NATIONAL SAFAI KARAMCHARIS FINANCE AND DEVELOPMENT CORPORATION</t>
  </si>
  <si>
    <t>AHMEDABAD</t>
  </si>
  <si>
    <t>GUJARAT</t>
  </si>
  <si>
    <t>Gaurav patel</t>
  </si>
  <si>
    <t>AR180975</t>
  </si>
  <si>
    <t>Ambuj Tripathi</t>
  </si>
  <si>
    <t>TR654284</t>
  </si>
  <si>
    <t>Day 2</t>
  </si>
  <si>
    <t>GJSCI_VSSY-RPL/2026-02</t>
  </si>
  <si>
    <t>Jewellery Frame and Component Maker</t>
  </si>
  <si>
    <t>UPICON</t>
  </si>
  <si>
    <t>Barabanki</t>
  </si>
  <si>
    <t>UttarPradesh</t>
  </si>
  <si>
    <t>Mohd Nadeem</t>
  </si>
  <si>
    <t>AR29759</t>
  </si>
  <si>
    <t>Mahima Pandey</t>
  </si>
  <si>
    <t>TR346258</t>
  </si>
  <si>
    <t>Masonry of Earthquake-Resistant Building(CON/N0161)</t>
  </si>
  <si>
    <t>Astric Solutions</t>
  </si>
  <si>
    <t>Siwan</t>
  </si>
  <si>
    <t>Bihar</t>
  </si>
  <si>
    <t>Mohd Naseem</t>
  </si>
  <si>
    <t>AR145441</t>
  </si>
  <si>
    <t>Priyanshu Ranjan Upadhyay</t>
  </si>
  <si>
    <t>TR544100</t>
  </si>
  <si>
    <t xml:space="preserve"> ALL INDIA SOCIETY FOR ELECTRONICS AND COMPUTER TECHNOLOGY</t>
  </si>
  <si>
    <t>KATNI</t>
  </si>
  <si>
    <t>MADHYA PRADESH</t>
  </si>
  <si>
    <t>Girja Shankar Gigoliya</t>
  </si>
  <si>
    <t>AR136635</t>
  </si>
  <si>
    <t>Shiv Kumar Choudhary</t>
  </si>
  <si>
    <t>TR409060</t>
  </si>
  <si>
    <t>Govt ITI (LWE) Gidhuar, Jamui</t>
  </si>
  <si>
    <t>JAMUI</t>
  </si>
  <si>
    <t>Kanhaiya Kumar</t>
  </si>
  <si>
    <t>AR115952</t>
  </si>
  <si>
    <t>TR507370</t>
  </si>
  <si>
    <t>GOVT WITI SAHARSA</t>
  </si>
  <si>
    <t>SAHARSA</t>
  </si>
  <si>
    <t>Ashwinee kumar</t>
  </si>
  <si>
    <t>AR161851</t>
  </si>
  <si>
    <t>TR616427</t>
  </si>
  <si>
    <t>Brainlite Education Solutions Pvt Ltd</t>
  </si>
  <si>
    <t>RAJKOT</t>
  </si>
  <si>
    <t>Swacchta Saarthi( SGJ/MCr-0015)</t>
  </si>
  <si>
    <t>Shrawani Srivastava</t>
  </si>
  <si>
    <t>KHAMMAM</t>
  </si>
  <si>
    <t>TELANGANA</t>
  </si>
  <si>
    <t>01042026-27</t>
  </si>
  <si>
    <t>Bamboo Work Artisan</t>
  </si>
  <si>
    <t>Uttar Pradesh Institute of Design and Research</t>
  </si>
  <si>
    <t>Amethi</t>
  </si>
  <si>
    <t>Uttar Pradesh</t>
  </si>
  <si>
    <t>Amit Gangwar</t>
  </si>
  <si>
    <t>AR73171</t>
  </si>
  <si>
    <t>Pradeep Kumar Kulshreshtha</t>
  </si>
  <si>
    <t>TR587524</t>
  </si>
  <si>
    <t>01042026-28</t>
  </si>
  <si>
    <t>GJSCI_VSSY-RPL/2026-04</t>
  </si>
  <si>
    <t xml:space="preserve">Kanpur Nagar </t>
  </si>
  <si>
    <t xml:space="preserve">Anju Verma </t>
  </si>
  <si>
    <t>TR341602</t>
  </si>
  <si>
    <t>Rural Mason V4.0</t>
  </si>
  <si>
    <t>Merapath Education Limited</t>
  </si>
  <si>
    <t>Nandurbar</t>
  </si>
  <si>
    <t>Maharashtra</t>
  </si>
  <si>
    <t>Krishnapal</t>
  </si>
  <si>
    <t>AR77228</t>
  </si>
  <si>
    <t>Vijay Meghval</t>
  </si>
  <si>
    <t>TR506611</t>
  </si>
  <si>
    <t>Masonry of Earthquake-Resistant Building</t>
  </si>
  <si>
    <t xml:space="preserve"> LEARNET SKILLS LIMITED</t>
  </si>
  <si>
    <t>JAMMU</t>
  </si>
  <si>
    <t>CENTRAL TOOL ROOM AND TRAINING CENTRE</t>
  </si>
  <si>
    <t>KALAHANDI</t>
  </si>
  <si>
    <t>ODISHA</t>
  </si>
  <si>
    <t xml:space="preserve">Chittaranjan panda
</t>
  </si>
  <si>
    <t>AR142325</t>
  </si>
  <si>
    <t xml:space="preserve">Jaga Prasad Pattnaik </t>
  </si>
  <si>
    <t>TR546304</t>
  </si>
  <si>
    <t>Kanagala Ramasurekanand</t>
  </si>
  <si>
    <t>AR102979</t>
  </si>
  <si>
    <t xml:space="preserve">Satish Kumar </t>
  </si>
  <si>
    <t>TR29766</t>
  </si>
  <si>
    <t>01042026-29</t>
  </si>
  <si>
    <t>01042026-30</t>
  </si>
  <si>
    <t>01042026-33</t>
  </si>
  <si>
    <t>Traditional Hand Embroiderer</t>
  </si>
  <si>
    <t>Lucknow</t>
  </si>
  <si>
    <t>Ritu Singh</t>
  </si>
  <si>
    <t>TR353756</t>
  </si>
  <si>
    <t>01042026-34</t>
  </si>
  <si>
    <t>Basic sculptor and stone artist (Moortikar)( HCS/N1506 )</t>
  </si>
  <si>
    <t>National Federation of Farmers' Procurement, Processing &amp; Retailing Cooperatives of India Ltd., (NACOF)</t>
  </si>
  <si>
    <t>KURNOOL</t>
  </si>
  <si>
    <t>ANDHRA PRADESH</t>
  </si>
  <si>
    <t>Shaik Sabeena</t>
  </si>
  <si>
    <t>AR138412
Sabeena@321</t>
  </si>
  <si>
    <t>TR562299</t>
  </si>
  <si>
    <t>SRI POTTI SRIRAMULU NELLORE</t>
  </si>
  <si>
    <t>Cherukuru Tirupalu</t>
  </si>
  <si>
    <t>AR95412</t>
  </si>
  <si>
    <t>Lalbabu Ahmed</t>
  </si>
  <si>
    <t>AR103539</t>
  </si>
  <si>
    <t>Government ITI, Moradabad</t>
  </si>
  <si>
    <t>MORADABAD</t>
  </si>
  <si>
    <t>Not Conducted</t>
  </si>
  <si>
    <t xml:space="preserve">Batch Cancelled </t>
  </si>
  <si>
    <t>Desludging Assistant</t>
  </si>
  <si>
    <t>SAHIBA ALI</t>
  </si>
  <si>
    <t>DHANBAD</t>
  </si>
  <si>
    <t>JHARKHAND</t>
  </si>
  <si>
    <t>DEEPAK KUMAR BHAGAT</t>
  </si>
  <si>
    <t>AR72856</t>
  </si>
  <si>
    <t>Md Faizan Ansari</t>
  </si>
  <si>
    <t>TR627892</t>
  </si>
  <si>
    <t>Solar PV Installer (Suryamitra)</t>
  </si>
  <si>
    <t>SARVA SHIKSHA VIKAS SAMITI</t>
  </si>
  <si>
    <t>BHOPAL</t>
  </si>
  <si>
    <t>Ayush Batham</t>
  </si>
  <si>
    <t>TR443962</t>
  </si>
  <si>
    <t>01042026-31</t>
  </si>
  <si>
    <t>01042026-32</t>
  </si>
  <si>
    <t>NAPS_07-04-2026</t>
  </si>
  <si>
    <t>Jewellery Polisher and Cleaner (Version 4.0)</t>
  </si>
  <si>
    <t>ROYAL CHAINS PRIVATE LIMITED</t>
  </si>
  <si>
    <t xml:space="preserve">Delhi </t>
  </si>
  <si>
    <t>New Delhi</t>
  </si>
  <si>
    <t>Bhavsar Foundation</t>
  </si>
  <si>
    <t>Jalna</t>
  </si>
  <si>
    <t>Sudama Saket</t>
  </si>
  <si>
    <t>TR343497</t>
  </si>
  <si>
    <t>Potter (Kumhar) including traditional ceramics and terracotta product maker( HCS/N9213 )</t>
  </si>
  <si>
    <t>Government ITI, World Bank Mahila, Varanasi</t>
  </si>
  <si>
    <t>VARANASI</t>
  </si>
  <si>
    <t>Ramsagar</t>
  </si>
  <si>
    <t>AR137565</t>
  </si>
  <si>
    <t>TR560839</t>
  </si>
  <si>
    <t>TOT_MESC_07-04-2026</t>
  </si>
  <si>
    <t xml:space="preserve">Media &amp; Entertainment </t>
  </si>
  <si>
    <t>3D Printing Operator</t>
  </si>
  <si>
    <t>Dhanvantri Private Iti</t>
  </si>
  <si>
    <t xml:space="preserve">	Mohd Nadeem</t>
  </si>
  <si>
    <t>PURBI CHAMPARAN</t>
  </si>
  <si>
    <t>Non-PMKVY_01</t>
  </si>
  <si>
    <t>Solar PV Installer (Suryamitra) v4</t>
  </si>
  <si>
    <t>Go Renewable Technologies</t>
  </si>
  <si>
    <t>Surendranagar</t>
  </si>
  <si>
    <t>Gujarat</t>
  </si>
  <si>
    <t>Result Sheet Only 09-04-2026</t>
  </si>
  <si>
    <t>Gautam Parmar</t>
  </si>
  <si>
    <t xml:space="preserve">	AR65813</t>
  </si>
  <si>
    <t>Nevilkumar Gajendrabhai Patel</t>
  </si>
  <si>
    <t>TR183325</t>
  </si>
  <si>
    <t>NIFA Infocom Service Pvt Ltd.</t>
  </si>
  <si>
    <t>Gaya</t>
  </si>
  <si>
    <t>Mohd Naseem Mallik</t>
  </si>
  <si>
    <t>Dharmendra Kumar Sharma</t>
  </si>
  <si>
    <t>TR545478</t>
  </si>
  <si>
    <t>Govt ITI Kahalgaon (Bhagalpur)</t>
  </si>
  <si>
    <t>BHAGALPUR</t>
  </si>
  <si>
    <t>SOURAV KUMAR</t>
  </si>
  <si>
    <t>AR119030/Sourav@2025</t>
  </si>
  <si>
    <t>TR582022</t>
  </si>
  <si>
    <t>GOVT ITI, GARHWA</t>
  </si>
  <si>
    <t>GARHWA</t>
  </si>
  <si>
    <t>BIKRANT SAGAR MINZ</t>
  </si>
  <si>
    <t>AR179820</t>
  </si>
  <si>
    <t>TR660935</t>
  </si>
  <si>
    <t>Government ITI, Mehdawal, Sant Kabir Nagar</t>
  </si>
  <si>
    <t>SANT KABIR NAGAR</t>
  </si>
  <si>
    <t>satyam</t>
  </si>
  <si>
    <t>AR158476</t>
  </si>
  <si>
    <t>TR609159</t>
  </si>
  <si>
    <t>Wajid Bashir</t>
  </si>
  <si>
    <t>Danishwar Fayaz</t>
  </si>
  <si>
    <t>TR294080</t>
  </si>
  <si>
    <t>Mail Sent</t>
  </si>
  <si>
    <t>SHIVA SHAKTHI MAHILA RURAL AND URBAN DEVELOPMENT ASSOCIATION</t>
  </si>
  <si>
    <t>Belagavi</t>
  </si>
  <si>
    <t>Karnataka</t>
  </si>
  <si>
    <t xml:space="preserve">Result sheet Done i need confirmation </t>
  </si>
  <si>
    <t>Not Uploaded</t>
  </si>
  <si>
    <t>DEEPU RAJ</t>
  </si>
  <si>
    <t>AR177654</t>
  </si>
  <si>
    <t>Ladamsaha Umarasaha Makandar</t>
  </si>
  <si>
    <t>TR536125</t>
  </si>
  <si>
    <t>Goldsmith</t>
  </si>
  <si>
    <t>Anmol Pandey</t>
  </si>
  <si>
    <t>AR87617</t>
  </si>
  <si>
    <t>TOA_MESC_09-04-2026</t>
  </si>
  <si>
    <t>Account Executive</t>
  </si>
  <si>
    <t>Assistant Costume Designer</t>
  </si>
  <si>
    <t>NAPS_09-04-2026</t>
  </si>
  <si>
    <t xml:space="preserve">Planner </t>
  </si>
  <si>
    <t>gems and Jewellery</t>
  </si>
  <si>
    <t>Swarnim Prabhat</t>
  </si>
  <si>
    <t>AR161938</t>
  </si>
  <si>
    <t xml:space="preserve">Ashwinee Kumar </t>
  </si>
  <si>
    <t>LEARNET SKILLS LIMITED</t>
  </si>
  <si>
    <t>JHUNJHUNU</t>
  </si>
  <si>
    <t>RAJASTHAN</t>
  </si>
  <si>
    <t>Yogesh Jangir</t>
  </si>
  <si>
    <t>AR123754</t>
  </si>
  <si>
    <t>Aditya Ojha</t>
  </si>
  <si>
    <t>TR533903</t>
  </si>
  <si>
    <t>NAJIBABAD GOVERNMENT ITI</t>
  </si>
  <si>
    <t>BIJNOR</t>
  </si>
  <si>
    <t>shewtank mishra</t>
  </si>
  <si>
    <t>AR100182</t>
  </si>
  <si>
    <t>Idaksha Training Academy Private Limited</t>
  </si>
  <si>
    <t>Bhopal</t>
  </si>
  <si>
    <t>Neha sapkale</t>
  </si>
  <si>
    <t>TR433972</t>
  </si>
  <si>
    <t>Prabhodita Services India Private Limited</t>
  </si>
  <si>
    <t>Katihar</t>
  </si>
  <si>
    <t>Mohd Waseem</t>
  </si>
  <si>
    <t xml:space="preserve">        AR148405</t>
  </si>
  <si>
    <t xml:space="preserve">Re Assessment </t>
  </si>
  <si>
    <t>Solar PV Installer (Suryamitra) 4.0</t>
  </si>
  <si>
    <t>Gaurav Singh</t>
  </si>
  <si>
    <t>Vikash Kumar</t>
  </si>
  <si>
    <t>AR116014</t>
  </si>
  <si>
    <t>Bathuru Praveenkumar</t>
  </si>
  <si>
    <t>TR609878</t>
  </si>
  <si>
    <t xml:space="preserve">	Wajid Bashir</t>
  </si>
  <si>
    <t>WARDHA</t>
  </si>
  <si>
    <t>MAHARASHTRA</t>
  </si>
  <si>
    <t>Neha Dineshrao Bangare</t>
  </si>
  <si>
    <t>AR134445</t>
  </si>
  <si>
    <t>TR555172</t>
  </si>
  <si>
    <t>TOT_MESC_10-04-2026</t>
  </si>
  <si>
    <t xml:space="preserve">3D Printing Operator </t>
  </si>
  <si>
    <t>Priyanshu Kumar Tiwari</t>
  </si>
  <si>
    <t xml:space="preserve">Raushan Kumar </t>
  </si>
  <si>
    <t>TR627945</t>
  </si>
  <si>
    <t>Hassan</t>
  </si>
  <si>
    <t>Batch not Confirm</t>
  </si>
  <si>
    <t>Deepu Raj</t>
  </si>
  <si>
    <t>Maya Jan Vikas Seva Sansthan</t>
  </si>
  <si>
    <t>BHANDARA</t>
  </si>
  <si>
    <t>Deepsingh Tanwar</t>
  </si>
  <si>
    <t>AR16827</t>
  </si>
  <si>
    <t>Traditional Malakar( HCS/N9210 )</t>
  </si>
  <si>
    <t>ALL INDIA SOCIETY FOR ELECTRONICS AND COMPUTER TECHNOLOGY</t>
  </si>
  <si>
    <t>MORENA</t>
  </si>
  <si>
    <t>Saurabh Mishra</t>
  </si>
  <si>
    <t>AR158975</t>
  </si>
  <si>
    <t>TR481327</t>
  </si>
  <si>
    <t>handicraft</t>
  </si>
  <si>
    <t>BULDHANA</t>
  </si>
  <si>
    <t>Gaytri Ramesh Tadas</t>
  </si>
  <si>
    <t>AR161115</t>
  </si>
  <si>
    <t xml:space="preserve">Kashmira Devi </t>
  </si>
  <si>
    <t>TR669634</t>
  </si>
  <si>
    <t xml:space="preserve">	Traditional Soft Toy Maker( HCS/N7355 )</t>
  </si>
  <si>
    <t>MUZAFFARPUR</t>
  </si>
  <si>
    <t xml:space="preserve">Deepmala Kumari </t>
  </si>
  <si>
    <t>AR113805</t>
  </si>
  <si>
    <t>Shiwani Kumari</t>
  </si>
  <si>
    <t>TR583330</t>
  </si>
  <si>
    <t xml:space="preserve">Naeem </t>
  </si>
  <si>
    <t>Sukhveer Singh Maan</t>
  </si>
  <si>
    <t>AR163611</t>
  </si>
  <si>
    <t>TR620280</t>
  </si>
  <si>
    <t>AR95412 / Pmvk@2024</t>
  </si>
  <si>
    <t xml:space="preserve">Rondla Akhil </t>
  </si>
  <si>
    <t>TR438024</t>
  </si>
  <si>
    <t>iDaksha Training Academy Pvt. Ltd</t>
  </si>
  <si>
    <t>Jabalpur</t>
  </si>
  <si>
    <t>Satyam Mishra</t>
  </si>
  <si>
    <t>TR590110</t>
  </si>
  <si>
    <t>Swacchta Saarthi( SGJ/MCr-0015 )</t>
  </si>
  <si>
    <t>ankur garg</t>
  </si>
  <si>
    <t>SONITPUR</t>
  </si>
  <si>
    <t>Mossarraf Hussain</t>
  </si>
  <si>
    <t>AR80057</t>
  </si>
  <si>
    <t>Aditya Das</t>
  </si>
  <si>
    <t>TR640230</t>
  </si>
  <si>
    <t>Nagaveni C</t>
  </si>
  <si>
    <t>AR145809</t>
  </si>
  <si>
    <t xml:space="preserve">Dasari venkata Kalyan Bharadwaj
</t>
  </si>
  <si>
    <t>TR561972</t>
  </si>
  <si>
    <t>AR103539/Lal@1234</t>
  </si>
  <si>
    <t xml:space="preserve">Brick Mason -Basic( CON/N0160 )	</t>
  </si>
  <si>
    <t>GOVERNMENT POLYTECHNIC FOR WOMEN SRINAGAR</t>
  </si>
  <si>
    <t>MUDASSAR AHMED</t>
  </si>
  <si>
    <t>AR80508/Openzargar@49</t>
  </si>
  <si>
    <t>Aadil saidullah bhat</t>
  </si>
  <si>
    <t>TR395267</t>
  </si>
  <si>
    <t xml:space="preserve"> APITCO LIMITED</t>
  </si>
  <si>
    <t>AMBEDKAR NAGAR</t>
  </si>
  <si>
    <t xml:space="preserve"> SAHDEV PRAJAPATI</t>
  </si>
  <si>
    <t>AR104406 / Aisect@123</t>
  </si>
  <si>
    <t>sahdav prajapati</t>
  </si>
  <si>
    <t>TR475299</t>
  </si>
  <si>
    <t>Aftab Husain</t>
  </si>
  <si>
    <t>AR101205 / Rms@7860</t>
  </si>
  <si>
    <t>Rena Verma</t>
  </si>
  <si>
    <t>TR314334</t>
  </si>
  <si>
    <t>Switchon_Batch _01</t>
  </si>
  <si>
    <t>Solar Program</t>
  </si>
  <si>
    <t>SwitchON</t>
  </si>
  <si>
    <t xml:space="preserve"> EMPOWER PRAGATI VOCATIONAL AND STAFFING PRIVATE LIMITED</t>
  </si>
  <si>
    <t>BHARATPUR</t>
  </si>
  <si>
    <t>Anisha Soni</t>
  </si>
  <si>
    <t>AR180647 / Soni@123</t>
  </si>
  <si>
    <t>Rural Mason V4.0	CON/Q3603-SI001</t>
  </si>
  <si>
    <t>Nashik</t>
  </si>
  <si>
    <t>MEDHAVI FOUNDATION</t>
  </si>
  <si>
    <t>CACHAR</t>
  </si>
  <si>
    <t>Kalyani Deb</t>
  </si>
  <si>
    <t>AR77139</t>
  </si>
  <si>
    <t>CENTRAL FOOTWEAR TRAINING INSTITUTE</t>
  </si>
  <si>
    <t xml:space="preserve">JANJGIR-CHAMPA </t>
  </si>
  <si>
    <t>CHHATTISGARH</t>
  </si>
  <si>
    <t>Takesh Kumar</t>
  </si>
  <si>
    <t>AR130863</t>
  </si>
  <si>
    <t>Padmaranjeeta Education Trust</t>
  </si>
  <si>
    <t>Darrang</t>
  </si>
  <si>
    <t>Krishnapal Singh</t>
  </si>
  <si>
    <t xml:space="preserve">	AR77228</t>
  </si>
  <si>
    <t>NAPS_15-04-2026</t>
  </si>
  <si>
    <t xml:space="preserve">Dimexon Diamonds Limited </t>
  </si>
  <si>
    <t xml:space="preserve"> AFC INDIA LIMITED</t>
  </si>
  <si>
    <t>PALNADU</t>
  </si>
  <si>
    <t>Ergadindla Tharun</t>
  </si>
  <si>
    <t>AR112532/Shritech@1234</t>
  </si>
  <si>
    <t>TR492315</t>
  </si>
  <si>
    <t>Dilshad Ansari</t>
  </si>
  <si>
    <t>AR180986</t>
  </si>
  <si>
    <t>Bikrant Sagar Minz</t>
  </si>
  <si>
    <t>Government Industrial Training Institute, Kannauj 209732</t>
  </si>
  <si>
    <t>KANNAUJ</t>
  </si>
  <si>
    <t xml:space="preserve">Ankit Mishra </t>
  </si>
  <si>
    <t>AR67665 / Ankit@321</t>
  </si>
  <si>
    <t>Deepa singh</t>
  </si>
  <si>
    <t>TR533198</t>
  </si>
  <si>
    <t>EMPOWER PRAGATI VOCATIONAL AND STAFFING PRIVATE LIMITED</t>
  </si>
  <si>
    <t xml:space="preserve">Anisha Soni </t>
  </si>
  <si>
    <t>MOSAIC WORKSKILLS PRIVATE LIMITED</t>
  </si>
  <si>
    <t>GANDERBAL</t>
  </si>
  <si>
    <t>Mubashir Manzoor</t>
  </si>
  <si>
    <t>AR83388/Muba@1234</t>
  </si>
  <si>
    <t>GOVT WOMEN INDUSTRIAL TRAINING INSTITUTE BHAGALPUR</t>
  </si>
  <si>
    <t xml:space="preserve">Shabnam Kumari </t>
  </si>
  <si>
    <t>AR106886 / New@#123</t>
  </si>
  <si>
    <t>Hari Priya Kumari</t>
  </si>
  <si>
    <t>TR633659</t>
  </si>
  <si>
    <t>AR78791 / Surjit@1111</t>
  </si>
  <si>
    <t>NIFA INFOCOMP SERVICES PRIVATE LIMITED</t>
  </si>
  <si>
    <t>NARMADA</t>
  </si>
  <si>
    <t xml:space="preserve">GUJARAT	</t>
  </si>
  <si>
    <t>PREETAM KUMARI</t>
  </si>
  <si>
    <t xml:space="preserve"> AR163800 / aDMIN@123</t>
  </si>
  <si>
    <t>TR620506</t>
  </si>
  <si>
    <t>G K EDUCATIONAL TRUST</t>
  </si>
  <si>
    <t>UDHAMPUR</t>
  </si>
  <si>
    <t>postpone 20-04-2026</t>
  </si>
  <si>
    <t xml:space="preserve">Satyam </t>
  </si>
  <si>
    <t>AR158476 / Satyam@89228</t>
  </si>
  <si>
    <t>Samarth Samarpan Sewa Samiti</t>
  </si>
  <si>
    <t>Biswanath</t>
  </si>
  <si>
    <t>Haveri</t>
  </si>
  <si>
    <t>Siddhartha</t>
  </si>
  <si>
    <t>RANGA REDDY</t>
  </si>
  <si>
    <t>KAMRUP METRO</t>
  </si>
  <si>
    <t>Atickram Aditya Rabha</t>
  </si>
  <si>
    <t>AR4815</t>
  </si>
  <si>
    <t xml:space="preserve">Multiple Mistakes found in one day. </t>
  </si>
  <si>
    <t>DBMS and Assessment Tracker status not matched</t>
  </si>
  <si>
    <t>📊 ASSESSMENT COST MANAGEMENT DASHBOARD</t>
  </si>
  <si>
    <t>CHART DATA (Scheme-wise)</t>
  </si>
  <si>
    <t>Batches</t>
  </si>
  <si>
    <t>Candidates</t>
  </si>
  <si>
    <t>Income</t>
  </si>
  <si>
    <t>Expenses</t>
  </si>
  <si>
    <t>Profit</t>
  </si>
  <si>
    <t>📋 KEY PERFORMANCE INDICATORS</t>
  </si>
  <si>
    <t>Total Assessments</t>
  </si>
  <si>
    <t>Total Passed</t>
  </si>
  <si>
    <t>Total Failed</t>
  </si>
  <si>
    <t>Total Expenses (₹)</t>
  </si>
  <si>
    <t>Total Profit (₹)</t>
  </si>
  <si>
    <t>CHART DATA (Assessor-wise)</t>
  </si>
  <si>
    <t>📈 SCHEME-WISE SUMMARY</t>
  </si>
  <si>
    <t>Assessor</t>
  </si>
  <si>
    <t>Assessor Fee</t>
  </si>
  <si>
    <t>Income (₹)</t>
  </si>
  <si>
    <t>Expenses (₹)</t>
  </si>
  <si>
    <t>Profit (₹)</t>
  </si>
  <si>
    <t>CHART DATA (Approval)</t>
  </si>
  <si>
    <t>Count</t>
  </si>
  <si>
    <t>Auto-Approved</t>
  </si>
  <si>
    <t>Approval Required</t>
  </si>
  <si>
    <t>👤 ASSESSOR-WISE SUMMARY</t>
  </si>
  <si>
    <t>Critical</t>
  </si>
  <si>
    <t>Mohd Haseen</t>
  </si>
  <si>
    <t>CHART DATA (Pass/Fail)</t>
  </si>
  <si>
    <t>Ram Assessor</t>
  </si>
  <si>
    <t>✅ APPROVAL STATUS</t>
  </si>
  <si>
    <t>💰 EXPENSE % BY SCHEME</t>
  </si>
  <si>
    <t>✅ Auto-Approved</t>
  </si>
  <si>
    <t>⚠️ Approval Required</t>
  </si>
  <si>
    <t>🔴 Critical - Over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</si>
</sst>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\₹#,##0"/>
    <numFmt numFmtId="166" formatCode="\₹#,##0;\(\₹#,##0\);&quot;-&quot;"/>
    <numFmt numFmtId="167" formatCode="0.0%"/>
    <numFmt numFmtId="168" formatCode="d mmm yyyy"/>
  </numFmts>
  <fonts count="49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8000"/>
      <name val="Calibri"/>
    </font>
    <font>
      <color theme="1"/>
      <name val="Calibri"/>
      <scheme val="minor"/>
    </font>
    <font>
      <sz val="11.0"/>
      <color rgb="FF0000FF"/>
      <name val="Calibri"/>
    </font>
    <font>
      <b/>
      <sz val="11.0"/>
      <color rgb="FFFF0000"/>
      <name val="Calibri"/>
    </font>
    <font>
      <i/>
      <sz val="11.0"/>
      <color rgb="FFFF0000"/>
      <name val="Calibri"/>
    </font>
    <font>
      <b/>
      <sz val="10.0"/>
      <color theme="1"/>
      <name val="Quattrocento Sans"/>
    </font>
    <font>
      <sz val="10.0"/>
      <color rgb="FF2C3E50"/>
      <name val="Quattrocento Sans"/>
    </font>
    <font>
      <b/>
      <sz val="10.0"/>
      <color rgb="FF000000"/>
      <name val="Quattrocento Sans"/>
    </font>
    <font>
      <sz val="10.0"/>
      <color rgb="FF000000"/>
      <name val="Quattrocento Sans"/>
    </font>
    <font>
      <sz val="10.0"/>
      <color rgb="FF434343"/>
      <name val="Quattrocento Sans"/>
    </font>
    <font>
      <sz val="10.0"/>
      <color rgb="FF434343"/>
      <name val="Arial"/>
    </font>
    <font>
      <sz val="10.0"/>
      <color rgb="FF27AE60"/>
      <name val="Quattrocento Sans"/>
    </font>
    <font>
      <sz val="10.0"/>
      <color rgb="FF006100"/>
      <name val="Quattrocento Sans"/>
    </font>
    <font>
      <sz val="10.0"/>
      <color rgb="FF0000FF"/>
      <name val="Quattrocento Sans"/>
    </font>
    <font>
      <sz val="10.0"/>
      <color rgb="FFC0392B"/>
      <name val="Quattrocento Sans"/>
    </font>
    <font>
      <b/>
      <sz val="10.0"/>
      <color rgb="FF2C3E50"/>
      <name val="Quattrocento Sans"/>
    </font>
    <font>
      <u/>
      <sz val="10.0"/>
      <color rgb="FF0000FF"/>
      <name val="Quattrocento Sans"/>
    </font>
    <font>
      <sz val="10.0"/>
      <color rgb="FFBDC3C7"/>
      <name val="Quattrocento Sans"/>
    </font>
    <font>
      <b/>
      <sz val="10.0"/>
      <color rgb="FF434343"/>
      <name val="Quattrocento Sans"/>
    </font>
    <font>
      <sz val="11.0"/>
      <color rgb="FF212529"/>
      <name val="Figtree"/>
    </font>
    <font>
      <color theme="1"/>
      <name val="Arial"/>
    </font>
    <font>
      <sz val="10.0"/>
      <color rgb="FF1F1F1F"/>
      <name val="Quattrocento Sans"/>
    </font>
    <font>
      <sz val="10.0"/>
      <color rgb="FF212529"/>
      <name val="Arial"/>
    </font>
    <font>
      <b/>
      <sz val="10.0"/>
      <color rgb="FFBDC3C7"/>
      <name val="Quattrocento Sans"/>
    </font>
    <font>
      <sz val="9.0"/>
      <color rgb="FF212529"/>
      <name val="Arial"/>
    </font>
    <font>
      <color rgb="FF000000"/>
      <name val="Calibri"/>
      <scheme val="minor"/>
    </font>
    <font>
      <b/>
      <sz val="18.0"/>
      <color rgb="FFFFFFFF"/>
      <name val="Calibri"/>
    </font>
    <font>
      <b/>
      <sz val="6.0"/>
      <color rgb="FFD9D9D9"/>
      <name val="Calibri"/>
    </font>
    <font>
      <sz val="6.0"/>
      <color rgb="FFD9D9D9"/>
      <name val="Calibri"/>
    </font>
    <font>
      <b/>
      <sz val="13.0"/>
      <color rgb="FF1F4E79"/>
      <name val="Calibri"/>
    </font>
    <font>
      <b/>
      <sz val="10.0"/>
      <color rgb="FF1F4E79"/>
      <name val="Calibri"/>
    </font>
    <font>
      <b/>
      <sz val="22.0"/>
      <color rgb="FF1F4E79"/>
      <name val="Calibri"/>
    </font>
    <font>
      <b/>
      <sz val="10.0"/>
      <color rgb="FF006100"/>
      <name val="Calibri"/>
    </font>
    <font>
      <b/>
      <sz val="22.0"/>
      <color rgb="FF006100"/>
      <name val="Calibri"/>
    </font>
    <font>
      <b/>
      <sz val="10.0"/>
      <color rgb="FFC00000"/>
      <name val="Calibri"/>
    </font>
    <font>
      <b/>
      <sz val="22.0"/>
      <color rgb="FFC00000"/>
      <name val="Calibri"/>
    </font>
    <font>
      <b/>
      <sz val="11.0"/>
      <color rgb="FFFFFFFF"/>
      <name val="Calibri"/>
    </font>
    <font>
      <b/>
      <sz val="11.0"/>
      <color rgb="FF006100"/>
      <name val="Calibri"/>
    </font>
    <font>
      <b/>
      <sz val="14.0"/>
      <color rgb="FF006100"/>
      <name val="Calibri"/>
    </font>
    <font>
      <b/>
      <sz val="11.0"/>
      <color rgb="FF9C5700"/>
      <name val="Calibri"/>
    </font>
    <font>
      <b/>
      <sz val="14.0"/>
      <color rgb="FF9C5700"/>
      <name val="Calibri"/>
    </font>
    <font>
      <b/>
      <sz val="11.0"/>
      <color rgb="FFC00000"/>
      <name val="Calibri"/>
    </font>
    <font>
      <b/>
      <sz val="14.0"/>
      <color rgb="FFC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  <fill>
      <patternFill patternType="solid">
        <fgColor rgb="FFE2F0D9"/>
        <bgColor rgb="FFE2F0D9"/>
      </patternFill>
    </fill>
    <fill>
      <patternFill patternType="solid">
        <fgColor rgb="FFFDE8E8"/>
        <bgColor rgb="FFFDE8E8"/>
      </patternFill>
    </fill>
    <fill>
      <patternFill patternType="solid">
        <fgColor rgb="FFF2F7FB"/>
        <bgColor rgb="FFF2F7FB"/>
      </patternFill>
    </fill>
    <fill>
      <patternFill patternType="solid">
        <fgColor rgb="FFFFF2CC"/>
        <bgColor rgb="FFFFF2CC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/>
      <right/>
      <bottom/>
    </border>
    <border>
      <left style="thin">
        <color rgb="FFD9D9D9"/>
      </left>
      <right/>
      <bottom/>
    </border>
    <border>
      <left style="thin">
        <color rgb="FFD9D9D9"/>
      </left>
      <right style="medium">
        <color rgb="FFBDC3C7"/>
      </right>
      <bottom/>
    </border>
    <border>
      <left style="thin">
        <color rgb="FFD9D9D9"/>
      </left>
      <right/>
      <bottom style="thin">
        <color rgb="FFD9D9D9"/>
      </bottom>
    </border>
    <border>
      <left/>
      <right style="thin">
        <color rgb="FFD9D9D9"/>
      </right>
      <bottom style="thin">
        <color rgb="FFD9D9D9"/>
      </bottom>
    </border>
    <border>
      <left/>
      <right style="thin">
        <color rgb="FFD9D9D9"/>
      </right>
      <bottom/>
    </border>
    <border>
      <left style="thin">
        <color rgb="FFD9D9D9"/>
      </left>
      <right style="thin">
        <color rgb="FFBDC3C7"/>
      </right>
      <bottom style="thin">
        <color rgb="FFD9D9D9"/>
      </bottom>
    </border>
    <border>
      <left style="medium">
        <color rgb="FF1F4E79"/>
      </left>
      <right/>
      <top style="medium">
        <color rgb="FF1F4E79"/>
      </top>
      <bottom/>
    </border>
    <border>
      <left/>
      <right style="medium">
        <color rgb="FF1F4E79"/>
      </right>
      <top style="medium">
        <color rgb="FF1F4E79"/>
      </top>
      <bottom/>
    </border>
    <border>
      <left style="medium">
        <color rgb="FF1F4E79"/>
      </left>
      <right style="medium">
        <color rgb="FF1F4E79"/>
      </right>
      <top style="medium">
        <color rgb="FF1F4E79"/>
      </top>
      <bottom/>
    </border>
    <border>
      <left style="medium">
        <color rgb="FF1F4E79"/>
      </left>
      <right/>
      <top/>
      <bottom/>
    </border>
    <border>
      <left/>
      <right style="medium">
        <color rgb="FF1F4E79"/>
      </right>
      <top/>
      <bottom/>
    </border>
    <border>
      <left style="medium">
        <color rgb="FF1F4E79"/>
      </left>
      <right style="medium">
        <color rgb="FF1F4E79"/>
      </right>
      <top/>
      <bottom/>
    </border>
    <border>
      <left style="medium">
        <color rgb="FF1F4E79"/>
      </left>
      <right/>
      <top/>
      <bottom style="medium">
        <color rgb="FF1F4E79"/>
      </bottom>
    </border>
    <border>
      <left/>
      <right style="medium">
        <color rgb="FF1F4E79"/>
      </right>
      <top/>
      <bottom style="medium">
        <color rgb="FF1F4E79"/>
      </bottom>
    </border>
    <border>
      <left style="medium">
        <color rgb="FF1F4E79"/>
      </left>
      <right style="medium">
        <color rgb="FF1F4E79"/>
      </right>
      <top/>
      <bottom style="medium">
        <color rgb="FF1F4E79"/>
      </bottom>
    </border>
    <border>
      <left style="thin">
        <color rgb="FF1F4E79"/>
      </left>
      <right/>
      <top style="thin">
        <color rgb="FF1F4E79"/>
      </top>
      <bottom style="thin">
        <color rgb="FFD9D9D9"/>
      </bottom>
    </border>
    <border>
      <left/>
      <right/>
      <top style="thin">
        <color rgb="FF1F4E79"/>
      </top>
      <bottom style="thin">
        <color rgb="FFD9D9D9"/>
      </bottom>
    </border>
    <border>
      <left/>
      <right style="thin">
        <color rgb="FF1F4E79"/>
      </right>
      <top style="thin">
        <color rgb="FF1F4E79"/>
      </top>
      <bottom style="thin">
        <color rgb="FFD9D9D9"/>
      </bottom>
    </border>
    <border>
      <left style="thin">
        <color rgb="FF1F4E79"/>
      </left>
      <right/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/>
      <right style="thin">
        <color rgb="FF1F4E79"/>
      </right>
      <top style="thin">
        <color rgb="FFD9D9D9"/>
      </top>
      <bottom style="thin">
        <color rgb="FFD9D9D9"/>
      </bottom>
    </border>
    <border>
      <left style="thin">
        <color rgb="FF1F4E79"/>
      </left>
      <top style="thin">
        <color rgb="FFD9D9D9"/>
      </top>
      <bottom style="thin">
        <color rgb="FFD9D9D9"/>
      </bottom>
    </border>
    <border>
      <right style="thin">
        <color rgb="FF1F4E79"/>
      </right>
      <top style="thin">
        <color rgb="FFD9D9D9"/>
      </top>
      <bottom style="thin">
        <color rgb="FFD9D9D9"/>
      </bottom>
    </border>
    <border>
      <left style="thin">
        <color rgb="FF1F4E79"/>
      </left>
      <right/>
      <top style="thin">
        <color rgb="FFD9D9D9"/>
      </top>
      <bottom style="thin">
        <color rgb="FF1F4E79"/>
      </bottom>
    </border>
    <border>
      <left/>
      <right/>
      <top style="thin">
        <color rgb="FFD9D9D9"/>
      </top>
      <bottom style="thin">
        <color rgb="FF1F4E79"/>
      </bottom>
    </border>
    <border>
      <top style="thin">
        <color rgb="FFD9D9D9"/>
      </top>
      <bottom style="thin">
        <color rgb="FF1F4E79"/>
      </bottom>
    </border>
    <border>
      <left/>
      <right style="thin">
        <color rgb="FF1F4E79"/>
      </right>
      <top style="thin">
        <color rgb="FFD9D9D9"/>
      </top>
      <bottom style="thin">
        <color rgb="FF1F4E79"/>
      </bottom>
    </border>
    <border>
      <left style="thin">
        <color rgb="FF1F4E79"/>
      </left>
      <top style="thin">
        <color rgb="FFD9D9D9"/>
      </top>
      <bottom style="thin">
        <color rgb="FF1F4E79"/>
      </bottom>
    </border>
    <border>
      <right style="thin">
        <color rgb="FF1F4E79"/>
      </right>
      <top style="thin">
        <color rgb="FFD9D9D9"/>
      </top>
      <bottom style="thin">
        <color rgb="FF1F4E79"/>
      </bottom>
    </border>
    <border>
      <top style="thin">
        <color rgb="FF1F4E7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 readingOrder="0"/>
    </xf>
    <xf borderId="4" fillId="4" fontId="5" numFmtId="0" xfId="0" applyAlignment="1" applyBorder="1" applyFill="1" applyFont="1">
      <alignment horizontal="center" readingOrder="0" shrinkToFit="0" wrapText="0"/>
    </xf>
    <xf borderId="4" fillId="0" fontId="4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5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/>
    </xf>
    <xf borderId="4" fillId="0" fontId="4" numFmtId="0" xfId="0" applyBorder="1" applyFont="1"/>
    <xf borderId="4" fillId="0" fontId="8" numFmtId="0" xfId="0" applyBorder="1" applyFont="1"/>
    <xf borderId="4" fillId="0" fontId="4" numFmtId="49" xfId="0" applyBorder="1" applyFont="1" applyNumberFormat="1"/>
    <xf borderId="4" fillId="0" fontId="6" numFmtId="0" xfId="0" applyBorder="1" applyFont="1"/>
    <xf borderId="0" fillId="0" fontId="7" numFmtId="0" xfId="0" applyFon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1" numFmtId="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4" fillId="5" fontId="12" numFmtId="1" xfId="0" applyAlignment="1" applyBorder="1" applyFill="1" applyFont="1" applyNumberFormat="1">
      <alignment horizontal="center" shrinkToFit="0" vertical="center" wrapText="0"/>
    </xf>
    <xf borderId="4" fillId="5" fontId="13" numFmtId="0" xfId="0" applyAlignment="1" applyBorder="1" applyFont="1">
      <alignment horizontal="center" readingOrder="0" shrinkToFit="0" vertical="center" wrapText="0"/>
    </xf>
    <xf borderId="4" fillId="6" fontId="14" numFmtId="0" xfId="0" applyAlignment="1" applyBorder="1" applyFill="1" applyFont="1">
      <alignment horizontal="center" readingOrder="0" shrinkToFit="0" vertical="center" wrapText="0"/>
    </xf>
    <xf borderId="4" fillId="5" fontId="14" numFmtId="0" xfId="0" applyAlignment="1" applyBorder="1" applyFont="1">
      <alignment readingOrder="0" shrinkToFit="0" vertical="center" wrapText="0"/>
    </xf>
    <xf borderId="4" fillId="7" fontId="15" numFmtId="0" xfId="0" applyAlignment="1" applyBorder="1" applyFill="1" applyFont="1">
      <alignment horizontal="center" shrinkToFit="0" vertical="center" wrapText="0"/>
    </xf>
    <xf borderId="4" fillId="5" fontId="15" numFmtId="0" xfId="0" applyAlignment="1" applyBorder="1" applyFont="1">
      <alignment horizontal="center" readingOrder="0" shrinkToFit="0" vertical="center" wrapText="0"/>
    </xf>
    <xf borderId="4" fillId="7" fontId="15" numFmtId="0" xfId="0" applyAlignment="1" applyBorder="1" applyFont="1">
      <alignment horizontal="center" readingOrder="0" shrinkToFit="0" vertical="center" wrapText="1"/>
    </xf>
    <xf borderId="4" fillId="5" fontId="15" numFmtId="164" xfId="0" applyAlignment="1" applyBorder="1" applyFont="1" applyNumberFormat="1">
      <alignment readingOrder="0" shrinkToFit="0" vertical="center" wrapText="0"/>
    </xf>
    <xf borderId="4" fillId="5" fontId="15" numFmtId="164" xfId="0" applyAlignment="1" applyBorder="1" applyFont="1" applyNumberFormat="1">
      <alignment horizontal="center" readingOrder="0" shrinkToFit="0" vertical="center" wrapText="0"/>
    </xf>
    <xf borderId="4" fillId="5" fontId="15" numFmtId="3" xfId="0" applyAlignment="1" applyBorder="1" applyFont="1" applyNumberFormat="1">
      <alignment horizontal="center" readingOrder="0" shrinkToFit="0" vertical="center" wrapText="0"/>
    </xf>
    <xf borderId="4" fillId="0" fontId="16" numFmtId="3" xfId="0" applyAlignment="1" applyBorder="1" applyFont="1" applyNumberFormat="1">
      <alignment horizontal="center" shrinkToFit="0" vertical="center" wrapText="0"/>
    </xf>
    <xf borderId="4" fillId="0" fontId="16" numFmtId="9" xfId="0" applyAlignment="1" applyBorder="1" applyFont="1" applyNumberFormat="1">
      <alignment shrinkToFit="0" vertical="center" wrapText="0"/>
    </xf>
    <xf borderId="4" fillId="5" fontId="17" numFmtId="165" xfId="0" applyAlignment="1" applyBorder="1" applyFont="1" applyNumberFormat="1">
      <alignment horizontal="center" shrinkToFit="0" vertical="center" wrapText="0"/>
    </xf>
    <xf borderId="4" fillId="5" fontId="18" numFmtId="165" xfId="0" applyAlignment="1" applyBorder="1" applyFont="1" applyNumberFormat="1">
      <alignment horizontal="center" shrinkToFit="0" vertical="center" wrapText="0"/>
    </xf>
    <xf borderId="4" fillId="5" fontId="19" numFmtId="165" xfId="0" applyAlignment="1" applyBorder="1" applyFont="1" applyNumberFormat="1">
      <alignment horizontal="center" readingOrder="0" shrinkToFit="0" vertical="center" wrapText="0"/>
    </xf>
    <xf borderId="4" fillId="5" fontId="20" numFmtId="165" xfId="0" applyAlignment="1" applyBorder="1" applyFont="1" applyNumberFormat="1">
      <alignment horizontal="center" shrinkToFit="0" vertical="center" wrapText="0"/>
    </xf>
    <xf borderId="4" fillId="5" fontId="18" numFmtId="166" xfId="0" applyAlignment="1" applyBorder="1" applyFont="1" applyNumberFormat="1">
      <alignment horizontal="center" shrinkToFit="0" vertical="center" wrapText="0"/>
    </xf>
    <xf borderId="4" fillId="5" fontId="12" numFmtId="167" xfId="0" applyAlignment="1" applyBorder="1" applyFont="1" applyNumberFormat="1">
      <alignment horizontal="center" shrinkToFit="0" vertical="center" wrapText="0"/>
    </xf>
    <xf borderId="4" fillId="5" fontId="21" numFmtId="0" xfId="0" applyAlignment="1" applyBorder="1" applyFont="1">
      <alignment horizontal="center" shrinkToFit="0" vertical="center" wrapText="0"/>
    </xf>
    <xf borderId="4" fillId="5" fontId="12" numFmtId="0" xfId="0" applyAlignment="1" applyBorder="1" applyFont="1">
      <alignment horizontal="center" shrinkToFit="0" vertical="center" wrapText="0"/>
    </xf>
    <xf borderId="4" fillId="5" fontId="14" numFmtId="0" xfId="0" applyAlignment="1" applyBorder="1" applyFont="1">
      <alignment horizontal="center" readingOrder="0" shrinkToFit="0" vertical="center" wrapText="0"/>
    </xf>
    <xf borderId="4" fillId="5" fontId="14" numFmtId="164" xfId="0" applyAlignment="1" applyBorder="1" applyFont="1" applyNumberFormat="1">
      <alignment horizontal="center" readingOrder="0" shrinkToFit="0" vertical="center" wrapText="0"/>
    </xf>
    <xf borderId="4" fillId="5" fontId="19" numFmtId="0" xfId="0" applyAlignment="1" applyBorder="1" applyFont="1">
      <alignment horizontal="center" readingOrder="0" shrinkToFit="0" vertical="center" wrapText="0"/>
    </xf>
    <xf borderId="4" fillId="5" fontId="19" numFmtId="0" xfId="0" applyAlignment="1" applyBorder="1" applyFont="1">
      <alignment horizontal="center" shrinkToFit="0" vertical="center" wrapText="0"/>
    </xf>
    <xf borderId="4" fillId="5" fontId="19" numFmtId="165" xfId="0" applyAlignment="1" applyBorder="1" applyFont="1" applyNumberFormat="1">
      <alignment horizontal="center" shrinkToFit="0" vertical="center" wrapText="0"/>
    </xf>
    <xf borderId="4" fillId="5" fontId="19" numFmtId="49" xfId="0" applyAlignment="1" applyBorder="1" applyFont="1" applyNumberFormat="1">
      <alignment horizontal="center" shrinkToFit="0" vertical="center" wrapText="0"/>
    </xf>
    <xf borderId="4" fillId="5" fontId="22" numFmtId="0" xfId="0" applyAlignment="1" applyBorder="1" applyFont="1">
      <alignment horizontal="center" readingOrder="0" shrinkToFit="0" vertical="center" wrapText="0"/>
    </xf>
    <xf borderId="4" fillId="5" fontId="12" numFmtId="1" xfId="0" applyAlignment="1" applyBorder="1" applyFont="1" applyNumberFormat="1">
      <alignment horizontal="center" readingOrder="0" shrinkToFit="0" vertical="center" wrapText="0"/>
    </xf>
    <xf borderId="4" fillId="5" fontId="14" numFmtId="164" xfId="0" applyAlignment="1" applyBorder="1" applyFont="1" applyNumberFormat="1">
      <alignment horizontal="center" shrinkToFit="0" vertical="center" wrapText="0"/>
    </xf>
    <xf borderId="4" fillId="5" fontId="14" numFmtId="0" xfId="0" applyAlignment="1" applyBorder="1" applyFont="1">
      <alignment horizontal="center" shrinkToFit="0" vertical="center" wrapText="0"/>
    </xf>
    <xf borderId="4" fillId="7" fontId="13" numFmtId="0" xfId="0" applyAlignment="1" applyBorder="1" applyFont="1">
      <alignment horizontal="center" readingOrder="0" shrinkToFit="0" vertical="center" wrapText="0"/>
    </xf>
    <xf borderId="4" fillId="7" fontId="14" numFmtId="0" xfId="0" applyAlignment="1" applyBorder="1" applyFont="1">
      <alignment readingOrder="0" shrinkToFit="0" vertical="center" wrapText="0"/>
    </xf>
    <xf borderId="4" fillId="7" fontId="15" numFmtId="0" xfId="0" applyAlignment="1" applyBorder="1" applyFont="1">
      <alignment horizontal="center" readingOrder="0" shrinkToFit="0" vertical="center" wrapText="0"/>
    </xf>
    <xf borderId="4" fillId="7" fontId="15" numFmtId="164" xfId="0" applyAlignment="1" applyBorder="1" applyFont="1" applyNumberFormat="1">
      <alignment readingOrder="0" shrinkToFit="0" vertical="center" wrapText="0"/>
    </xf>
    <xf borderId="4" fillId="7" fontId="15" numFmtId="164" xfId="0" applyAlignment="1" applyBorder="1" applyFont="1" applyNumberFormat="1">
      <alignment horizontal="center" readingOrder="0" shrinkToFit="0" vertical="center" wrapText="0"/>
    </xf>
    <xf borderId="4" fillId="7" fontId="15" numFmtId="3" xfId="0" applyAlignment="1" applyBorder="1" applyFont="1" applyNumberFormat="1">
      <alignment horizontal="center" readingOrder="0" shrinkToFit="0" vertical="center" wrapText="0"/>
    </xf>
    <xf borderId="4" fillId="7" fontId="19" numFmtId="165" xfId="0" applyAlignment="1" applyBorder="1" applyFont="1" applyNumberFormat="1">
      <alignment horizontal="center" readingOrder="0" shrinkToFit="0" vertical="center" wrapText="0"/>
    </xf>
    <xf borderId="4" fillId="7" fontId="19" numFmtId="165" xfId="0" applyAlignment="1" applyBorder="1" applyFont="1" applyNumberFormat="1">
      <alignment horizontal="center" shrinkToFit="0" vertical="center" wrapText="0"/>
    </xf>
    <xf borderId="4" fillId="7" fontId="14" numFmtId="0" xfId="0" applyAlignment="1" applyBorder="1" applyFont="1">
      <alignment horizontal="center" readingOrder="0" shrinkToFit="0" vertical="center" wrapText="0"/>
    </xf>
    <xf borderId="4" fillId="7" fontId="14" numFmtId="164" xfId="0" applyAlignment="1" applyBorder="1" applyFont="1" applyNumberFormat="1">
      <alignment horizontal="center" shrinkToFit="0" vertical="center" wrapText="0"/>
    </xf>
    <xf borderId="4" fillId="7" fontId="14" numFmtId="0" xfId="0" applyAlignment="1" applyBorder="1" applyFont="1">
      <alignment horizontal="center" shrinkToFit="0" vertical="center" wrapText="0"/>
    </xf>
    <xf borderId="4" fillId="7" fontId="19" numFmtId="0" xfId="0" applyAlignment="1" applyBorder="1" applyFont="1">
      <alignment horizontal="center" readingOrder="0" shrinkToFit="0" vertical="center" wrapText="0"/>
    </xf>
    <xf borderId="4" fillId="7" fontId="19" numFmtId="0" xfId="0" applyAlignment="1" applyBorder="1" applyFont="1">
      <alignment horizontal="center" shrinkToFit="0" vertical="center" wrapText="0"/>
    </xf>
    <xf borderId="4" fillId="7" fontId="19" numFmtId="49" xfId="0" applyAlignment="1" applyBorder="1" applyFont="1" applyNumberFormat="1">
      <alignment horizontal="center" shrinkToFit="0" vertical="center" wrapText="0"/>
    </xf>
    <xf borderId="4" fillId="5" fontId="16" numFmtId="0" xfId="0" applyAlignment="1" applyBorder="1" applyFont="1">
      <alignment horizontal="center" readingOrder="0" shrinkToFit="0" vertical="center" wrapText="0"/>
    </xf>
    <xf borderId="4" fillId="5" fontId="15" numFmtId="0" xfId="0" applyAlignment="1" applyBorder="1" applyFont="1">
      <alignment horizontal="center" readingOrder="0" shrinkToFit="0" vertical="center" wrapText="1"/>
    </xf>
    <xf borderId="4" fillId="5" fontId="14" numFmtId="0" xfId="0" applyAlignment="1" applyBorder="1" applyFont="1">
      <alignment shrinkToFit="0" vertical="center" wrapText="0"/>
    </xf>
    <xf borderId="4" fillId="8" fontId="12" numFmtId="1" xfId="0" applyAlignment="1" applyBorder="1" applyFill="1" applyFont="1" applyNumberFormat="1">
      <alignment horizontal="center" shrinkToFit="0" vertical="center" wrapText="0"/>
    </xf>
    <xf borderId="4" fillId="8" fontId="13" numFmtId="0" xfId="0" applyAlignment="1" applyBorder="1" applyFont="1">
      <alignment horizontal="center" readingOrder="0" shrinkToFit="0" vertical="center" wrapText="0"/>
    </xf>
    <xf borderId="4" fillId="8" fontId="14" numFmtId="0" xfId="0" applyAlignment="1" applyBorder="1" applyFont="1">
      <alignment horizontal="center" readingOrder="0" shrinkToFit="0" vertical="center" wrapText="0"/>
    </xf>
    <xf borderId="4" fillId="8" fontId="14" numFmtId="0" xfId="0" applyAlignment="1" applyBorder="1" applyFont="1">
      <alignment readingOrder="0" shrinkToFit="0" vertical="center" wrapText="0"/>
    </xf>
    <xf borderId="4" fillId="8" fontId="15" numFmtId="0" xfId="0" applyAlignment="1" applyBorder="1" applyFont="1">
      <alignment horizontal="center" readingOrder="0" shrinkToFit="0" vertical="center" wrapText="0"/>
    </xf>
    <xf borderId="4" fillId="8" fontId="15" numFmtId="0" xfId="0" applyAlignment="1" applyBorder="1" applyFont="1">
      <alignment horizontal="center" readingOrder="0" shrinkToFit="0" vertical="center" wrapText="1"/>
    </xf>
    <xf borderId="4" fillId="8" fontId="15" numFmtId="0" xfId="0" applyAlignment="1" applyBorder="1" applyFont="1">
      <alignment readingOrder="0" shrinkToFit="0" vertical="center" wrapText="0"/>
    </xf>
    <xf borderId="4" fillId="8" fontId="15" numFmtId="3" xfId="0" applyAlignment="1" applyBorder="1" applyFont="1" applyNumberFormat="1">
      <alignment horizontal="center" readingOrder="0" shrinkToFit="0" vertical="center" wrapText="0"/>
    </xf>
    <xf borderId="4" fillId="8" fontId="15" numFmtId="3" xfId="0" applyAlignment="1" applyBorder="1" applyFont="1" applyNumberFormat="1">
      <alignment horizontal="center" shrinkToFit="0" vertical="center" wrapText="0"/>
    </xf>
    <xf borderId="4" fillId="8" fontId="16" numFmtId="0" xfId="0" applyAlignment="1" applyBorder="1" applyFont="1">
      <alignment horizontal="center" shrinkToFit="0" vertical="center" wrapText="0"/>
    </xf>
    <xf borderId="4" fillId="8" fontId="15" numFmtId="164" xfId="0" applyAlignment="1" applyBorder="1" applyFont="1" applyNumberFormat="1">
      <alignment horizontal="center" shrinkToFit="0" vertical="center" wrapText="0"/>
    </xf>
    <xf borderId="4" fillId="8" fontId="16" numFmtId="9" xfId="0" applyAlignment="1" applyBorder="1" applyFont="1" applyNumberFormat="1">
      <alignment shrinkToFit="0" vertical="center" wrapText="0"/>
    </xf>
    <xf borderId="4" fillId="8" fontId="15" numFmtId="0" xfId="0" applyAlignment="1" applyBorder="1" applyFont="1">
      <alignment horizontal="center" shrinkToFit="0" vertical="center" wrapText="0"/>
    </xf>
    <xf borderId="4" fillId="8" fontId="18" numFmtId="165" xfId="0" applyAlignment="1" applyBorder="1" applyFont="1" applyNumberFormat="1">
      <alignment horizontal="center" shrinkToFit="0" vertical="center" wrapText="0"/>
    </xf>
    <xf borderId="4" fillId="8" fontId="19" numFmtId="165" xfId="0" applyAlignment="1" applyBorder="1" applyFont="1" applyNumberFormat="1">
      <alignment horizontal="center" shrinkToFit="0" vertical="center" wrapText="0"/>
    </xf>
    <xf borderId="4" fillId="8" fontId="20" numFmtId="165" xfId="0" applyAlignment="1" applyBorder="1" applyFont="1" applyNumberFormat="1">
      <alignment horizontal="center" shrinkToFit="0" vertical="center" wrapText="0"/>
    </xf>
    <xf borderId="4" fillId="8" fontId="18" numFmtId="166" xfId="0" applyAlignment="1" applyBorder="1" applyFont="1" applyNumberFormat="1">
      <alignment horizontal="center" shrinkToFit="0" vertical="center" wrapText="0"/>
    </xf>
    <xf borderId="4" fillId="8" fontId="12" numFmtId="167" xfId="0" applyAlignment="1" applyBorder="1" applyFont="1" applyNumberFormat="1">
      <alignment horizontal="center" shrinkToFit="0" vertical="center" wrapText="0"/>
    </xf>
    <xf borderId="4" fillId="8" fontId="21" numFmtId="0" xfId="0" applyAlignment="1" applyBorder="1" applyFont="1">
      <alignment horizontal="center" shrinkToFit="0" vertical="center" wrapText="0"/>
    </xf>
    <xf borderId="4" fillId="8" fontId="12" numFmtId="0" xfId="0" applyAlignment="1" applyBorder="1" applyFont="1">
      <alignment horizontal="center" shrinkToFit="0" vertical="center" wrapText="0"/>
    </xf>
    <xf borderId="4" fillId="8" fontId="14" numFmtId="0" xfId="0" applyAlignment="1" applyBorder="1" applyFont="1">
      <alignment shrinkToFit="0" vertical="center" wrapText="0"/>
    </xf>
    <xf borderId="4" fillId="8" fontId="14" numFmtId="164" xfId="0" applyAlignment="1" applyBorder="1" applyFont="1" applyNumberFormat="1">
      <alignment horizontal="center" shrinkToFit="0" vertical="center" wrapText="0"/>
    </xf>
    <xf borderId="4" fillId="8" fontId="14" numFmtId="0" xfId="0" applyAlignment="1" applyBorder="1" applyFont="1">
      <alignment horizontal="center" shrinkToFit="0" vertical="center" wrapText="0"/>
    </xf>
    <xf borderId="4" fillId="8" fontId="19" numFmtId="0" xfId="0" applyAlignment="1" applyBorder="1" applyFont="1">
      <alignment horizontal="center" shrinkToFit="0" vertical="center" wrapText="0"/>
    </xf>
    <xf borderId="4" fillId="8" fontId="19" numFmtId="49" xfId="0" applyAlignment="1" applyBorder="1" applyFont="1" applyNumberFormat="1">
      <alignment horizontal="center" shrinkToFit="0" vertical="center" wrapText="0"/>
    </xf>
    <xf borderId="4" fillId="8" fontId="12" numFmtId="1" xfId="0" applyAlignment="1" applyBorder="1" applyFont="1" applyNumberFormat="1">
      <alignment horizontal="center" readingOrder="0" shrinkToFit="0" vertical="center" wrapText="0"/>
    </xf>
    <xf borderId="4" fillId="5" fontId="15" numFmtId="164" xfId="0" applyAlignment="1" applyBorder="1" applyFont="1" applyNumberFormat="1">
      <alignment shrinkToFit="0" vertical="center" wrapText="0"/>
    </xf>
    <xf borderId="4" fillId="5" fontId="15" numFmtId="164" xfId="0" applyAlignment="1" applyBorder="1" applyFont="1" applyNumberFormat="1">
      <alignment horizontal="center" shrinkToFit="0" vertical="center" wrapText="0"/>
    </xf>
    <xf borderId="4" fillId="0" fontId="16" numFmtId="0" xfId="0" applyAlignment="1" applyBorder="1" applyFont="1">
      <alignment horizontal="center" shrinkToFit="0" vertical="center" wrapText="0"/>
    </xf>
    <xf borderId="4" fillId="0" fontId="16" numFmtId="0" xfId="0" applyAlignment="1" applyBorder="1" applyFont="1">
      <alignment horizontal="center" readingOrder="0" shrinkToFit="0" vertical="center" wrapText="0"/>
    </xf>
    <xf borderId="4" fillId="0" fontId="16" numFmtId="164" xfId="0" applyAlignment="1" applyBorder="1" applyFont="1" applyNumberFormat="1">
      <alignment horizontal="center" readingOrder="0" shrinkToFit="0" vertical="center" wrapText="0"/>
    </xf>
    <xf borderId="4" fillId="7" fontId="23" numFmtId="165" xfId="0" applyAlignment="1" applyBorder="1" applyFont="1" applyNumberFormat="1">
      <alignment horizontal="center" shrinkToFit="0" vertical="center" wrapText="0"/>
    </xf>
    <xf borderId="4" fillId="7" fontId="14" numFmtId="0" xfId="0" applyAlignment="1" applyBorder="1" applyFont="1">
      <alignment shrinkToFit="0" vertical="center" wrapText="0"/>
    </xf>
    <xf borderId="4" fillId="7" fontId="23" numFmtId="0" xfId="0" applyAlignment="1" applyBorder="1" applyFont="1">
      <alignment horizontal="center" shrinkToFit="0" vertical="center" wrapText="0"/>
    </xf>
    <xf borderId="4" fillId="7" fontId="23" numFmtId="0" xfId="0" applyAlignment="1" applyBorder="1" applyFont="1">
      <alignment horizontal="center" readingOrder="0" shrinkToFit="0" vertical="center" wrapText="0"/>
    </xf>
    <xf borderId="4" fillId="7" fontId="23" numFmtId="49" xfId="0" applyAlignment="1" applyBorder="1" applyFont="1" applyNumberFormat="1">
      <alignment horizontal="center" shrinkToFit="0" vertical="center" wrapText="0"/>
    </xf>
    <xf borderId="4" fillId="5" fontId="23" numFmtId="165" xfId="0" applyAlignment="1" applyBorder="1" applyFont="1" applyNumberFormat="1">
      <alignment horizontal="center" shrinkToFit="0" vertical="center" wrapText="0"/>
    </xf>
    <xf borderId="4" fillId="5" fontId="23" numFmtId="0" xfId="0" applyAlignment="1" applyBorder="1" applyFont="1">
      <alignment horizontal="center" shrinkToFit="0" vertical="center" wrapText="0"/>
    </xf>
    <xf borderId="4" fillId="5" fontId="23" numFmtId="0" xfId="0" applyAlignment="1" applyBorder="1" applyFont="1">
      <alignment horizontal="center" readingOrder="0" shrinkToFit="0" vertical="center" wrapText="0"/>
    </xf>
    <xf borderId="4" fillId="5" fontId="23" numFmtId="49" xfId="0" applyAlignment="1" applyBorder="1" applyFont="1" applyNumberFormat="1">
      <alignment horizontal="center" shrinkToFit="0" vertical="center" wrapText="0"/>
    </xf>
    <xf borderId="4" fillId="8" fontId="16" numFmtId="0" xfId="0" applyAlignment="1" applyBorder="1" applyFont="1">
      <alignment horizontal="center" readingOrder="0" shrinkToFit="0" vertical="center" wrapText="0"/>
    </xf>
    <xf borderId="4" fillId="8" fontId="16" numFmtId="164" xfId="0" applyAlignment="1" applyBorder="1" applyFont="1" applyNumberFormat="1">
      <alignment horizontal="center" readingOrder="0" shrinkToFit="0" vertical="center" wrapText="0"/>
    </xf>
    <xf borderId="4" fillId="8" fontId="23" numFmtId="165" xfId="0" applyAlignment="1" applyBorder="1" applyFont="1" applyNumberFormat="1">
      <alignment horizontal="center" shrinkToFit="0" vertical="center" wrapText="0"/>
    </xf>
    <xf borderId="4" fillId="8" fontId="23" numFmtId="0" xfId="0" applyAlignment="1" applyBorder="1" applyFont="1">
      <alignment horizontal="center" shrinkToFit="0" vertical="center" wrapText="0"/>
    </xf>
    <xf borderId="4" fillId="8" fontId="23" numFmtId="49" xfId="0" applyAlignment="1" applyBorder="1" applyFont="1" applyNumberFormat="1">
      <alignment horizontal="center" shrinkToFit="0" vertical="center" wrapText="0"/>
    </xf>
    <xf borderId="4" fillId="0" fontId="16" numFmtId="164" xfId="0" applyAlignment="1" applyBorder="1" applyFont="1" applyNumberFormat="1">
      <alignment horizontal="center" shrinkToFit="0" vertical="center" wrapText="0"/>
    </xf>
    <xf borderId="4" fillId="7" fontId="23" numFmtId="165" xfId="0" applyAlignment="1" applyBorder="1" applyFont="1" applyNumberFormat="1">
      <alignment horizontal="center" readingOrder="0" shrinkToFit="0" vertical="center" wrapText="0"/>
    </xf>
    <xf borderId="4" fillId="7" fontId="14" numFmtId="164" xfId="0" applyAlignment="1" applyBorder="1" applyFont="1" applyNumberFormat="1">
      <alignment horizontal="center" readingOrder="0" shrinkToFit="0" vertical="center" wrapText="0"/>
    </xf>
    <xf borderId="4" fillId="5" fontId="23" numFmtId="1" xfId="0" applyAlignment="1" applyBorder="1" applyFont="1" applyNumberFormat="1">
      <alignment horizontal="center" shrinkToFit="0" vertical="center" wrapText="0"/>
    </xf>
    <xf borderId="4" fillId="5" fontId="15" numFmtId="3" xfId="0" applyAlignment="1" applyBorder="1" applyFont="1" applyNumberFormat="1">
      <alignment horizontal="center" shrinkToFit="0" vertical="center" wrapText="0"/>
    </xf>
    <xf borderId="4" fillId="5" fontId="23" numFmtId="165" xfId="0" applyAlignment="1" applyBorder="1" applyFont="1" applyNumberFormat="1">
      <alignment horizontal="center" readingOrder="0" shrinkToFit="0" vertical="center" wrapText="0"/>
    </xf>
    <xf borderId="4" fillId="5" fontId="15" numFmtId="0" xfId="0" applyAlignment="1" applyBorder="1" applyFont="1">
      <alignment horizontal="center" shrinkToFit="0" vertical="center" wrapText="0"/>
    </xf>
    <xf borderId="4" fillId="8" fontId="17" numFmtId="165" xfId="0" applyAlignment="1" applyBorder="1" applyFont="1" applyNumberFormat="1">
      <alignment horizontal="center" shrinkToFit="0" vertical="center" wrapText="0"/>
    </xf>
    <xf borderId="4" fillId="9" fontId="23" numFmtId="1" xfId="0" applyAlignment="1" applyBorder="1" applyFill="1" applyFont="1" applyNumberFormat="1">
      <alignment horizontal="center" shrinkToFit="0" vertical="center" wrapText="0"/>
    </xf>
    <xf borderId="4" fillId="9" fontId="13" numFmtId="0" xfId="0" applyAlignment="1" applyBorder="1" applyFont="1">
      <alignment horizontal="center" readingOrder="0" shrinkToFit="0" vertical="center" wrapText="0"/>
    </xf>
    <xf borderId="4" fillId="9" fontId="14" numFmtId="0" xfId="0" applyAlignment="1" applyBorder="1" applyFont="1">
      <alignment horizontal="center" readingOrder="0" shrinkToFit="0" vertical="center" wrapText="0"/>
    </xf>
    <xf borderId="4" fillId="9" fontId="14" numFmtId="0" xfId="0" applyAlignment="1" applyBorder="1" applyFont="1">
      <alignment readingOrder="0" shrinkToFit="0" vertical="center" wrapText="0"/>
    </xf>
    <xf borderId="4" fillId="9" fontId="15" numFmtId="0" xfId="0" applyAlignment="1" applyBorder="1" applyFont="1">
      <alignment horizontal="center" readingOrder="0" shrinkToFit="0" vertical="center" wrapText="0"/>
    </xf>
    <xf borderId="4" fillId="9" fontId="15" numFmtId="0" xfId="0" applyAlignment="1" applyBorder="1" applyFont="1">
      <alignment horizontal="center" readingOrder="0" shrinkToFit="0" vertical="center" wrapText="1"/>
    </xf>
    <xf borderId="4" fillId="9" fontId="15" numFmtId="0" xfId="0" applyAlignment="1" applyBorder="1" applyFont="1">
      <alignment readingOrder="0" shrinkToFit="0" vertical="center" wrapText="0"/>
    </xf>
    <xf borderId="4" fillId="9" fontId="15" numFmtId="3" xfId="0" applyAlignment="1" applyBorder="1" applyFont="1" applyNumberFormat="1">
      <alignment horizontal="center" readingOrder="0" shrinkToFit="0" vertical="center" wrapText="0"/>
    </xf>
    <xf borderId="4" fillId="9" fontId="15" numFmtId="3" xfId="0" applyAlignment="1" applyBorder="1" applyFont="1" applyNumberFormat="1">
      <alignment horizontal="center" shrinkToFit="0" vertical="center" wrapText="0"/>
    </xf>
    <xf borderId="4" fillId="9" fontId="15" numFmtId="164" xfId="0" applyAlignment="1" applyBorder="1" applyFont="1" applyNumberFormat="1">
      <alignment horizontal="center" shrinkToFit="0" vertical="center" wrapText="0"/>
    </xf>
    <xf borderId="4" fillId="9" fontId="15" numFmtId="0" xfId="0" applyAlignment="1" applyBorder="1" applyFont="1">
      <alignment horizontal="center" shrinkToFit="0" vertical="center" wrapText="0"/>
    </xf>
    <xf borderId="4" fillId="9" fontId="16" numFmtId="9" xfId="0" applyAlignment="1" applyBorder="1" applyFont="1" applyNumberFormat="1">
      <alignment shrinkToFit="0" vertical="center" wrapText="0"/>
    </xf>
    <xf borderId="4" fillId="9" fontId="17" numFmtId="165" xfId="0" applyAlignment="1" applyBorder="1" applyFont="1" applyNumberFormat="1">
      <alignment horizontal="center" shrinkToFit="0" vertical="center" wrapText="0"/>
    </xf>
    <xf borderId="4" fillId="9" fontId="18" numFmtId="165" xfId="0" applyAlignment="1" applyBorder="1" applyFont="1" applyNumberFormat="1">
      <alignment horizontal="center" shrinkToFit="0" vertical="center" wrapText="0"/>
    </xf>
    <xf borderId="4" fillId="9" fontId="23" numFmtId="165" xfId="0" applyAlignment="1" applyBorder="1" applyFont="1" applyNumberFormat="1">
      <alignment horizontal="center" shrinkToFit="0" vertical="center" wrapText="0"/>
    </xf>
    <xf borderId="4" fillId="9" fontId="20" numFmtId="165" xfId="0" applyAlignment="1" applyBorder="1" applyFont="1" applyNumberFormat="1">
      <alignment horizontal="center" shrinkToFit="0" vertical="center" wrapText="0"/>
    </xf>
    <xf borderId="4" fillId="9" fontId="18" numFmtId="166" xfId="0" applyAlignment="1" applyBorder="1" applyFont="1" applyNumberFormat="1">
      <alignment horizontal="center" shrinkToFit="0" vertical="center" wrapText="0"/>
    </xf>
    <xf borderId="4" fillId="9" fontId="12" numFmtId="167" xfId="0" applyAlignment="1" applyBorder="1" applyFont="1" applyNumberFormat="1">
      <alignment horizontal="center" shrinkToFit="0" vertical="center" wrapText="0"/>
    </xf>
    <xf borderId="4" fillId="9" fontId="21" numFmtId="0" xfId="0" applyAlignment="1" applyBorder="1" applyFont="1">
      <alignment horizontal="center" shrinkToFit="0" vertical="center" wrapText="0"/>
    </xf>
    <xf borderId="4" fillId="9" fontId="12" numFmtId="0" xfId="0" applyAlignment="1" applyBorder="1" applyFont="1">
      <alignment horizontal="center" shrinkToFit="0" vertical="center" wrapText="0"/>
    </xf>
    <xf borderId="4" fillId="9" fontId="14" numFmtId="0" xfId="0" applyAlignment="1" applyBorder="1" applyFont="1">
      <alignment shrinkToFit="0" vertical="center" wrapText="0"/>
    </xf>
    <xf borderId="4" fillId="9" fontId="14" numFmtId="0" xfId="0" applyAlignment="1" applyBorder="1" applyFont="1">
      <alignment horizontal="center" shrinkToFit="0" vertical="center" wrapText="0"/>
    </xf>
    <xf borderId="4" fillId="9" fontId="14" numFmtId="164" xfId="0" applyAlignment="1" applyBorder="1" applyFont="1" applyNumberFormat="1">
      <alignment horizontal="center" shrinkToFit="0" vertical="center" wrapText="0"/>
    </xf>
    <xf borderId="4" fillId="9" fontId="23" numFmtId="0" xfId="0" applyAlignment="1" applyBorder="1" applyFont="1">
      <alignment horizontal="center" shrinkToFit="0" vertical="center" wrapText="0"/>
    </xf>
    <xf borderId="4" fillId="9" fontId="23" numFmtId="49" xfId="0" applyAlignment="1" applyBorder="1" applyFont="1" applyNumberFormat="1">
      <alignment horizontal="center" shrinkToFit="0" vertical="center" wrapText="0"/>
    </xf>
    <xf borderId="4" fillId="8" fontId="23" numFmtId="1" xfId="0" applyAlignment="1" applyBorder="1" applyFont="1" applyNumberFormat="1">
      <alignment horizontal="center" shrinkToFit="0" vertical="center" wrapText="0"/>
    </xf>
    <xf borderId="4" fillId="5" fontId="15" numFmtId="164" xfId="0" applyAlignment="1" applyBorder="1" applyFont="1" applyNumberFormat="1">
      <alignment horizontal="center" readingOrder="0" shrinkToFit="0" vertical="center" wrapText="1"/>
    </xf>
    <xf borderId="4" fillId="7" fontId="14" numFmtId="0" xfId="0" applyAlignment="1" applyBorder="1" applyFont="1">
      <alignment horizontal="center" readingOrder="0" shrinkToFit="0" vertical="center" wrapText="0"/>
    </xf>
    <xf borderId="4" fillId="5" fontId="14" numFmtId="0" xfId="0" applyAlignment="1" applyBorder="1" applyFont="1">
      <alignment horizontal="center" readingOrder="0" shrinkToFit="0" vertical="center" wrapText="0"/>
    </xf>
    <xf borderId="4" fillId="5" fontId="12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4" fillId="5" fontId="21" numFmtId="0" xfId="0" applyAlignment="1" applyBorder="1" applyFont="1">
      <alignment horizontal="center" readingOrder="0" shrinkToFit="0" vertical="center" wrapText="0"/>
    </xf>
    <xf borderId="4" fillId="7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5" fillId="7" fontId="15" numFmtId="0" xfId="0" applyAlignment="1" applyBorder="1" applyFont="1">
      <alignment horizontal="center" readingOrder="0" shrinkToFit="0" vertical="center" wrapText="0"/>
    </xf>
    <xf borderId="4" fillId="7" fontId="24" numFmtId="0" xfId="0" applyAlignment="1" applyBorder="1" applyFont="1">
      <alignment horizontal="center" readingOrder="0" shrinkToFit="0" vertical="center" wrapText="0"/>
    </xf>
    <xf borderId="4" fillId="6" fontId="15" numFmtId="0" xfId="0" applyAlignment="1" applyBorder="1" applyFont="1">
      <alignment horizontal="center" readingOrder="0" shrinkToFit="0" vertical="center" wrapText="0"/>
    </xf>
    <xf borderId="4" fillId="7" fontId="15" numFmtId="0" xfId="0" applyAlignment="1" applyBorder="1" applyFont="1">
      <alignment horizontal="center" readingOrder="0" shrinkToFit="0" vertical="center" wrapText="0"/>
    </xf>
    <xf borderId="4" fillId="0" fontId="25" numFmtId="0" xfId="0" applyAlignment="1" applyBorder="1" applyFont="1">
      <alignment readingOrder="0" shrinkToFit="0" vertical="bottom" wrapText="0"/>
    </xf>
    <xf borderId="4" fillId="0" fontId="26" numFmtId="0" xfId="0" applyAlignment="1" applyBorder="1" applyFont="1">
      <alignment horizontal="center" readingOrder="0" shrinkToFit="0" vertical="bottom" wrapText="0"/>
    </xf>
    <xf borderId="4" fillId="0" fontId="16" numFmtId="9" xfId="0" applyAlignment="1" applyBorder="1" applyFont="1" applyNumberForma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5" fontId="27" numFmtId="0" xfId="0" applyAlignment="1" applyBorder="1" applyFont="1">
      <alignment horizontal="center" readingOrder="0" shrinkToFit="0" vertical="center" wrapText="0"/>
    </xf>
    <xf borderId="4" fillId="5" fontId="24" numFmtId="0" xfId="0" applyAlignment="1" applyBorder="1" applyFont="1">
      <alignment horizontal="center" readingOrder="0" shrinkToFit="0" vertical="center" wrapText="0"/>
    </xf>
    <xf borderId="4" fillId="5" fontId="15" numFmtId="0" xfId="0" applyAlignment="1" applyBorder="1" applyFont="1">
      <alignment horizontal="center" readingOrder="0" shrinkToFit="0" vertical="center" wrapText="0"/>
    </xf>
    <xf borderId="0" fillId="5" fontId="15" numFmtId="0" xfId="0" applyAlignment="1" applyFont="1">
      <alignment horizontal="center" readingOrder="0" shrinkToFit="0" vertical="center" wrapText="0"/>
    </xf>
    <xf borderId="4" fillId="8" fontId="24" numFmtId="0" xfId="0" applyAlignment="1" applyBorder="1" applyFont="1">
      <alignment horizontal="center" readingOrder="0" shrinkToFit="0" vertical="center" wrapText="0"/>
    </xf>
    <xf borderId="4" fillId="8" fontId="15" numFmtId="0" xfId="0" applyAlignment="1" applyBorder="1" applyFont="1">
      <alignment horizontal="center" readingOrder="0" shrinkToFit="0" vertical="center" wrapText="0"/>
    </xf>
    <xf borderId="4" fillId="8" fontId="15" numFmtId="164" xfId="0" applyAlignment="1" applyBorder="1" applyFont="1" applyNumberFormat="1">
      <alignment horizontal="center" readingOrder="0" shrinkToFit="0" vertical="center" wrapText="0"/>
    </xf>
    <xf borderId="4" fillId="7" fontId="15" numFmtId="3" xfId="0" applyAlignment="1" applyBorder="1" applyFont="1" applyNumberFormat="1">
      <alignment horizontal="center" shrinkToFit="0" vertical="center" wrapText="0"/>
    </xf>
    <xf borderId="4" fillId="7" fontId="15" numFmtId="164" xfId="0" applyAlignment="1" applyBorder="1" applyFont="1" applyNumberFormat="1">
      <alignment horizontal="center" shrinkToFit="0" vertical="center" wrapText="0"/>
    </xf>
    <xf borderId="4" fillId="0" fontId="28" numFmtId="9" xfId="0" applyAlignment="1" applyBorder="1" applyFont="1" applyNumberFormat="1">
      <alignment horizontal="center" shrinkToFit="0" vertical="center" wrapText="0"/>
    </xf>
    <xf borderId="4" fillId="10" fontId="23" numFmtId="1" xfId="0" applyAlignment="1" applyBorder="1" applyFill="1" applyFont="1" applyNumberFormat="1">
      <alignment horizontal="center" shrinkToFit="0" vertical="center" wrapText="0"/>
    </xf>
    <xf borderId="4" fillId="10" fontId="15" numFmtId="0" xfId="0" applyAlignment="1" applyBorder="1" applyFont="1">
      <alignment horizontal="center" readingOrder="0" shrinkToFit="0" vertical="center" wrapText="0"/>
    </xf>
    <xf borderId="4" fillId="10" fontId="15" numFmtId="0" xfId="0" applyAlignment="1" applyBorder="1" applyFont="1">
      <alignment horizontal="center" readingOrder="0" shrinkToFit="0" vertical="center" wrapText="0"/>
    </xf>
    <xf borderId="4" fillId="10" fontId="15" numFmtId="164" xfId="0" applyAlignment="1" applyBorder="1" applyFont="1" applyNumberFormat="1">
      <alignment horizontal="center" readingOrder="0" shrinkToFit="0" vertical="center" wrapText="0"/>
    </xf>
    <xf borderId="4" fillId="5" fontId="15" numFmtId="9" xfId="0" applyAlignment="1" applyBorder="1" applyFont="1" applyNumberFormat="1">
      <alignment horizontal="center" readingOrder="0" shrinkToFit="0" vertical="center" wrapText="0"/>
    </xf>
    <xf borderId="4" fillId="6" fontId="7" numFmtId="0" xfId="0" applyAlignment="1" applyBorder="1" applyFont="1">
      <alignment horizontal="center" readingOrder="0" shrinkToFit="0" vertical="center" wrapText="0"/>
    </xf>
    <xf borderId="4" fillId="10" fontId="15" numFmtId="1" xfId="0" applyAlignment="1" applyBorder="1" applyFont="1" applyNumberFormat="1">
      <alignment horizontal="center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4" fillId="11" fontId="15" numFmtId="0" xfId="0" applyAlignment="1" applyBorder="1" applyFill="1" applyFont="1">
      <alignment horizontal="center" readingOrder="0" shrinkToFit="0" vertical="center" wrapText="0"/>
    </xf>
    <xf borderId="4" fillId="5" fontId="23" numFmtId="0" xfId="0" applyAlignment="1" applyBorder="1" applyFont="1">
      <alignment horizontal="center" readingOrder="0" shrinkToFit="0" vertical="center" wrapText="0"/>
    </xf>
    <xf borderId="4" fillId="7" fontId="23" numFmtId="0" xfId="0" applyAlignment="1" applyBorder="1" applyFont="1">
      <alignment horizontal="center" readingOrder="0" shrinkToFit="0" vertical="center" wrapText="0"/>
    </xf>
    <xf borderId="4" fillId="7" fontId="23" numFmtId="3" xfId="0" applyAlignment="1" applyBorder="1" applyFont="1" applyNumberFormat="1">
      <alignment horizontal="center" readingOrder="0" shrinkToFit="0" vertical="center" wrapText="0"/>
    </xf>
    <xf borderId="4" fillId="7" fontId="23" numFmtId="3" xfId="0" applyAlignment="1" applyBorder="1" applyFont="1" applyNumberFormat="1">
      <alignment horizontal="center" shrinkToFit="0" vertical="center" wrapText="0"/>
    </xf>
    <xf borderId="4" fillId="5" fontId="12" numFmtId="3" xfId="0" applyAlignment="1" applyBorder="1" applyFont="1" applyNumberFormat="1">
      <alignment horizontal="center" shrinkToFit="0" vertical="center" wrapText="0"/>
    </xf>
    <xf borderId="4" fillId="7" fontId="23" numFmtId="164" xfId="0" applyAlignment="1" applyBorder="1" applyFont="1" applyNumberFormat="1">
      <alignment horizontal="center" shrinkToFit="0" vertical="center" wrapText="0"/>
    </xf>
    <xf borderId="4" fillId="10" fontId="15" numFmtId="9" xfId="0" applyAlignment="1" applyBorder="1" applyFont="1" applyNumberFormat="1">
      <alignment horizontal="center" readingOrder="0" shrinkToFit="0" vertical="center" wrapText="0"/>
    </xf>
    <xf borderId="4" fillId="7" fontId="29" numFmtId="0" xfId="0" applyAlignment="1" applyBorder="1" applyFont="1">
      <alignment horizontal="center" shrinkToFit="0" vertical="center" wrapText="0"/>
    </xf>
    <xf borderId="4" fillId="7" fontId="23" numFmtId="0" xfId="0" applyAlignment="1" applyBorder="1" applyFont="1">
      <alignment horizontal="center" shrinkToFit="0" vertical="center" wrapText="0"/>
    </xf>
    <xf borderId="4" fillId="7" fontId="23" numFmtId="0" xfId="0" applyAlignment="1" applyBorder="1" applyFont="1">
      <alignment horizontal="center" shrinkToFit="0" vertical="center" wrapText="1"/>
    </xf>
    <xf borderId="4" fillId="5" fontId="12" numFmtId="9" xfId="0" applyAlignment="1" applyBorder="1" applyFont="1" applyNumberFormat="1">
      <alignment horizontal="center" shrinkToFit="0" vertical="center" wrapText="0"/>
    </xf>
    <xf borderId="4" fillId="0" fontId="30" numFmtId="9" xfId="0" applyAlignment="1" applyBorder="1" applyFont="1" applyNumberFormat="1">
      <alignment horizontal="center" shrinkToFit="0" vertical="center" wrapText="0"/>
    </xf>
    <xf borderId="4" fillId="5" fontId="29" numFmtId="0" xfId="0" applyAlignment="1" applyBorder="1" applyFont="1">
      <alignment horizontal="center" shrinkToFit="0" vertical="center" wrapText="0"/>
    </xf>
    <xf borderId="4" fillId="5" fontId="23" numFmtId="0" xfId="0" applyAlignment="1" applyBorder="1" applyFont="1">
      <alignment shrinkToFit="0" vertical="center" wrapText="0"/>
    </xf>
    <xf borderId="4" fillId="5" fontId="23" numFmtId="0" xfId="0" applyAlignment="1" applyBorder="1" applyFont="1">
      <alignment horizontal="center" shrinkToFit="0" vertical="center" wrapText="1"/>
    </xf>
    <xf borderId="4" fillId="5" fontId="23" numFmtId="164" xfId="0" applyAlignment="1" applyBorder="1" applyFont="1" applyNumberFormat="1">
      <alignment shrinkToFit="0" vertical="center" wrapText="0"/>
    </xf>
    <xf borderId="4" fillId="5" fontId="23" numFmtId="164" xfId="0" applyAlignment="1" applyBorder="1" applyFont="1" applyNumberFormat="1">
      <alignment horizontal="center" shrinkToFit="0" vertical="center" wrapText="0"/>
    </xf>
    <xf borderId="4" fillId="5" fontId="23" numFmtId="3" xfId="0" applyAlignment="1" applyBorder="1" applyFont="1" applyNumberFormat="1">
      <alignment horizontal="center" shrinkToFit="0" vertical="center" wrapText="0"/>
    </xf>
    <xf borderId="4" fillId="5" fontId="12" numFmtId="9" xfId="0" applyAlignment="1" applyBorder="1" applyFont="1" applyNumberFormat="1">
      <alignment shrinkToFit="0" vertical="center" wrapText="0"/>
    </xf>
    <xf borderId="4" fillId="0" fontId="30" numFmtId="9" xfId="0" applyAlignment="1" applyBorder="1" applyFont="1" applyNumberFormat="1">
      <alignment shrinkToFit="0" vertical="center" wrapText="0"/>
    </xf>
    <xf borderId="6" fillId="7" fontId="29" numFmtId="0" xfId="0" applyAlignment="1" applyBorder="1" applyFont="1">
      <alignment horizontal="center" shrinkToFit="0" vertical="center" wrapText="0"/>
    </xf>
    <xf borderId="6" fillId="7" fontId="23" numFmtId="0" xfId="0" applyAlignment="1" applyBorder="1" applyFont="1">
      <alignment horizontal="center" shrinkToFit="0" vertical="center" wrapText="0"/>
    </xf>
    <xf borderId="6" fillId="7" fontId="23" numFmtId="0" xfId="0" applyAlignment="1" applyBorder="1" applyFont="1">
      <alignment shrinkToFit="0" vertical="center" wrapText="0"/>
    </xf>
    <xf borderId="6" fillId="7" fontId="23" numFmtId="0" xfId="0" applyAlignment="1" applyBorder="1" applyFont="1">
      <alignment horizontal="center" shrinkToFit="0" vertical="center" wrapText="1"/>
    </xf>
    <xf borderId="6" fillId="7" fontId="23" numFmtId="164" xfId="0" applyAlignment="1" applyBorder="1" applyFont="1" applyNumberFormat="1">
      <alignment shrinkToFit="0" vertical="center" wrapText="0"/>
    </xf>
    <xf borderId="6" fillId="7" fontId="23" numFmtId="164" xfId="0" applyAlignment="1" applyBorder="1" applyFont="1" applyNumberFormat="1">
      <alignment horizontal="center" shrinkToFit="0" vertical="center" wrapText="0"/>
    </xf>
    <xf borderId="6" fillId="7" fontId="23" numFmtId="3" xfId="0" applyAlignment="1" applyBorder="1" applyFont="1" applyNumberFormat="1">
      <alignment horizontal="center" shrinkToFit="0" vertical="center" wrapText="0"/>
    </xf>
    <xf borderId="7" fillId="5" fontId="12" numFmtId="3" xfId="0" applyAlignment="1" applyBorder="1" applyFont="1" applyNumberFormat="1">
      <alignment horizontal="center" shrinkToFit="0" vertical="center" wrapText="0"/>
    </xf>
    <xf borderId="7" fillId="7" fontId="23" numFmtId="3" xfId="0" applyAlignment="1" applyBorder="1" applyFont="1" applyNumberFormat="1">
      <alignment horizontal="center" shrinkToFit="0" vertical="center" wrapText="0"/>
    </xf>
    <xf borderId="8" fillId="5" fontId="12" numFmtId="9" xfId="0" applyAlignment="1" applyBorder="1" applyFont="1" applyNumberFormat="1">
      <alignment shrinkToFit="0" vertical="center" wrapText="0"/>
    </xf>
    <xf borderId="9" fillId="7" fontId="23" numFmtId="0" xfId="0" applyAlignment="1" applyBorder="1" applyFont="1">
      <alignment horizontal="center" shrinkToFit="0" vertical="center" wrapText="0"/>
    </xf>
    <xf borderId="10" fillId="7" fontId="23" numFmtId="0" xfId="0" applyAlignment="1" applyBorder="1" applyFont="1">
      <alignment horizontal="center" shrinkToFit="0" vertical="center" wrapText="0"/>
    </xf>
    <xf borderId="11" fillId="5" fontId="18" numFmtId="165" xfId="0" applyAlignment="1" applyBorder="1" applyFont="1" applyNumberFormat="1">
      <alignment horizontal="center" shrinkToFit="0" vertical="center" wrapText="0"/>
    </xf>
    <xf borderId="6" fillId="7" fontId="23" numFmtId="165" xfId="0" applyAlignment="1" applyBorder="1" applyFont="1" applyNumberFormat="1">
      <alignment horizontal="center" shrinkToFit="0" vertical="center" wrapText="0"/>
    </xf>
    <xf borderId="12" fillId="5" fontId="20" numFmtId="165" xfId="0" applyAlignment="1" applyBorder="1" applyFont="1" applyNumberFormat="1">
      <alignment horizontal="center" shrinkToFit="0" vertical="center" wrapText="0"/>
    </xf>
    <xf borderId="7" fillId="5" fontId="18" numFmtId="166" xfId="0" applyAlignment="1" applyBorder="1" applyFont="1" applyNumberFormat="1">
      <alignment horizontal="center" shrinkToFit="0" vertical="center" wrapText="0"/>
    </xf>
    <xf borderId="7" fillId="5" fontId="12" numFmtId="167" xfId="0" applyAlignment="1" applyBorder="1" applyFont="1" applyNumberFormat="1">
      <alignment horizontal="center" shrinkToFit="0" vertical="center" wrapText="0"/>
    </xf>
    <xf borderId="11" fillId="5" fontId="21" numFmtId="0" xfId="0" applyAlignment="1" applyBorder="1" applyFont="1">
      <alignment horizontal="center" shrinkToFit="0" vertical="center" wrapText="0"/>
    </xf>
    <xf borderId="10" fillId="5" fontId="12" numFmtId="0" xfId="0" applyAlignment="1" applyBorder="1" applyFont="1">
      <alignment horizontal="center" shrinkToFit="0" vertical="center" wrapText="0"/>
    </xf>
    <xf borderId="8" fillId="7" fontId="14" numFmtId="0" xfId="0" applyAlignment="1" applyBorder="1" applyFont="1">
      <alignment shrinkToFit="0" vertical="center" wrapText="0"/>
    </xf>
    <xf borderId="13" fillId="7" fontId="14" numFmtId="0" xfId="0" applyAlignment="1" applyBorder="1" applyFont="1">
      <alignment horizontal="center" shrinkToFit="0" vertical="center" wrapText="0"/>
    </xf>
    <xf borderId="6" fillId="7" fontId="14" numFmtId="164" xfId="0" applyAlignment="1" applyBorder="1" applyFont="1" applyNumberFormat="1">
      <alignment horizontal="center" shrinkToFit="0" vertical="center" wrapText="0"/>
    </xf>
    <xf borderId="6" fillId="7" fontId="14" numFmtId="0" xfId="0" applyAlignment="1" applyBorder="1" applyFont="1">
      <alignment horizontal="center" shrinkToFit="0" vertical="center" wrapText="0"/>
    </xf>
    <xf borderId="14" fillId="5" fontId="21" numFmtId="0" xfId="0" applyAlignment="1" applyBorder="1" applyFont="1">
      <alignment horizontal="center" shrinkToFit="0" vertical="center" wrapText="0"/>
    </xf>
    <xf borderId="8" fillId="7" fontId="23" numFmtId="0" xfId="0" applyAlignment="1" applyBorder="1" applyFont="1">
      <alignment horizontal="center" shrinkToFit="0" vertical="center" wrapText="0"/>
    </xf>
    <xf borderId="8" fillId="7" fontId="23" numFmtId="165" xfId="0" applyAlignment="1" applyBorder="1" applyFont="1" applyNumberFormat="1">
      <alignment horizontal="center" shrinkToFit="0" vertical="center" wrapText="0"/>
    </xf>
    <xf borderId="8" fillId="7" fontId="23" numFmtId="49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7" numFmtId="9" xfId="0" applyAlignment="1" applyFont="1" applyNumberFormat="1">
      <alignment shrinkToFit="0" vertical="center" wrapText="0"/>
    </xf>
    <xf borderId="0" fillId="0" fontId="31" numFmtId="0" xfId="0" applyAlignment="1" applyFont="1">
      <alignment shrinkToFit="0" vertical="center" wrapText="0"/>
    </xf>
    <xf borderId="0" fillId="0" fontId="31" numFmtId="0" xfId="0" applyAlignment="1" applyFont="1">
      <alignment shrinkToFit="0" vertical="center" wrapText="0"/>
    </xf>
    <xf borderId="0" fillId="0" fontId="31" numFmtId="164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8" xfId="0" applyAlignment="1" applyFont="1" applyNumberFormat="1">
      <alignment readingOrder="0"/>
    </xf>
    <xf borderId="0" fillId="0" fontId="7" numFmtId="0" xfId="0" applyAlignment="1" applyFont="1">
      <alignment readingOrder="0"/>
    </xf>
    <xf borderId="1" fillId="2" fontId="32" numFmtId="0" xfId="0" applyAlignment="1" applyBorder="1" applyFont="1">
      <alignment horizontal="center"/>
    </xf>
    <xf borderId="0" fillId="0" fontId="33" numFmtId="0" xfId="0" applyFont="1"/>
    <xf borderId="0" fillId="0" fontId="34" numFmtId="0" xfId="0" applyFont="1"/>
    <xf borderId="1" fillId="3" fontId="35" numFmtId="0" xfId="0" applyAlignment="1" applyBorder="1" applyFont="1">
      <alignment horizontal="left"/>
    </xf>
    <xf borderId="0" fillId="0" fontId="34" numFmtId="3" xfId="0" applyFont="1" applyNumberFormat="1"/>
    <xf borderId="0" fillId="0" fontId="34" numFmtId="165" xfId="0" applyFont="1" applyNumberFormat="1"/>
    <xf borderId="0" fillId="0" fontId="34" numFmtId="166" xfId="0" applyFont="1" applyNumberFormat="1"/>
    <xf borderId="15" fillId="12" fontId="36" numFmtId="0" xfId="0" applyAlignment="1" applyBorder="1" applyFill="1" applyFont="1">
      <alignment horizontal="center"/>
    </xf>
    <xf borderId="16" fillId="12" fontId="37" numFmtId="3" xfId="0" applyAlignment="1" applyBorder="1" applyFont="1" applyNumberFormat="1">
      <alignment horizontal="center"/>
    </xf>
    <xf borderId="17" fillId="12" fontId="36" numFmtId="0" xfId="0" applyAlignment="1" applyBorder="1" applyFont="1">
      <alignment horizontal="center"/>
    </xf>
    <xf borderId="17" fillId="13" fontId="38" numFmtId="0" xfId="0" applyAlignment="1" applyBorder="1" applyFill="1" applyFont="1">
      <alignment horizontal="center"/>
    </xf>
    <xf borderId="18" fillId="12" fontId="36" numFmtId="0" xfId="0" applyAlignment="1" applyBorder="1" applyFont="1">
      <alignment horizontal="center"/>
    </xf>
    <xf borderId="19" fillId="12" fontId="37" numFmtId="3" xfId="0" applyAlignment="1" applyBorder="1" applyFont="1" applyNumberFormat="1">
      <alignment horizontal="center"/>
    </xf>
    <xf borderId="20" fillId="12" fontId="36" numFmtId="0" xfId="0" applyAlignment="1" applyBorder="1" applyFont="1">
      <alignment horizontal="center"/>
    </xf>
    <xf borderId="20" fillId="13" fontId="38" numFmtId="0" xfId="0" applyAlignment="1" applyBorder="1" applyFont="1">
      <alignment horizontal="center"/>
    </xf>
    <xf borderId="18" fillId="12" fontId="4" numFmtId="0" xfId="0" applyBorder="1" applyFont="1"/>
    <xf borderId="19" fillId="12" fontId="4" numFmtId="0" xfId="0" applyBorder="1" applyFont="1"/>
    <xf borderId="20" fillId="12" fontId="37" numFmtId="3" xfId="0" applyAlignment="1" applyBorder="1" applyFont="1" applyNumberFormat="1">
      <alignment horizontal="center"/>
    </xf>
    <xf borderId="20" fillId="13" fontId="39" numFmtId="167" xfId="0" applyAlignment="1" applyBorder="1" applyFont="1" applyNumberFormat="1">
      <alignment horizontal="center"/>
    </xf>
    <xf borderId="20" fillId="13" fontId="39" numFmtId="165" xfId="0" applyAlignment="1" applyBorder="1" applyFont="1" applyNumberFormat="1">
      <alignment horizontal="center"/>
    </xf>
    <xf borderId="15" fillId="13" fontId="38" numFmtId="0" xfId="0" applyAlignment="1" applyBorder="1" applyFont="1">
      <alignment horizontal="center"/>
    </xf>
    <xf borderId="16" fillId="13" fontId="39" numFmtId="3" xfId="0" applyAlignment="1" applyBorder="1" applyFont="1" applyNumberFormat="1">
      <alignment horizontal="center"/>
    </xf>
    <xf borderId="17" fillId="14" fontId="40" numFmtId="0" xfId="0" applyAlignment="1" applyBorder="1" applyFill="1" applyFont="1">
      <alignment horizontal="center"/>
    </xf>
    <xf borderId="21" fillId="13" fontId="4" numFmtId="0" xfId="0" applyBorder="1" applyFont="1"/>
    <xf borderId="22" fillId="13" fontId="4" numFmtId="0" xfId="0" applyBorder="1" applyFont="1"/>
    <xf borderId="23" fillId="14" fontId="41" numFmtId="3" xfId="0" applyAlignment="1" applyBorder="1" applyFont="1" applyNumberFormat="1">
      <alignment horizontal="center"/>
    </xf>
    <xf borderId="23" fillId="14" fontId="41" numFmtId="165" xfId="0" applyAlignment="1" applyBorder="1" applyFont="1" applyNumberFormat="1">
      <alignment horizontal="center"/>
    </xf>
    <xf borderId="23" fillId="12" fontId="37" numFmtId="166" xfId="0" applyAlignment="1" applyBorder="1" applyFont="1" applyNumberFormat="1">
      <alignment horizontal="center"/>
    </xf>
    <xf borderId="1" fillId="3" fontId="35" numFmtId="0" xfId="0" applyBorder="1" applyFont="1"/>
    <xf borderId="24" fillId="2" fontId="42" numFmtId="0" xfId="0" applyAlignment="1" applyBorder="1" applyFont="1">
      <alignment horizontal="center"/>
    </xf>
    <xf borderId="25" fillId="2" fontId="42" numFmtId="0" xfId="0" applyAlignment="1" applyBorder="1" applyFont="1">
      <alignment horizontal="center"/>
    </xf>
    <xf borderId="25" fillId="2" fontId="4" numFmtId="0" xfId="0" applyBorder="1" applyFont="1"/>
    <xf borderId="26" fillId="2" fontId="42" numFmtId="0" xfId="0" applyAlignment="1" applyBorder="1" applyFont="1">
      <alignment horizontal="center"/>
    </xf>
    <xf borderId="0" fillId="0" fontId="34" numFmtId="167" xfId="0" applyFont="1" applyNumberFormat="1"/>
    <xf borderId="27" fillId="15" fontId="3" numFmtId="0" xfId="0" applyAlignment="1" applyBorder="1" applyFill="1" applyFont="1">
      <alignment horizontal="center"/>
    </xf>
    <xf borderId="28" fillId="15" fontId="4" numFmtId="3" xfId="0" applyAlignment="1" applyBorder="1" applyFont="1" applyNumberFormat="1">
      <alignment horizontal="center"/>
    </xf>
    <xf borderId="29" fillId="0" fontId="4" numFmtId="0" xfId="0" applyBorder="1" applyFont="1"/>
    <xf borderId="28" fillId="15" fontId="4" numFmtId="165" xfId="0" applyAlignment="1" applyBorder="1" applyFont="1" applyNumberFormat="1">
      <alignment horizontal="center"/>
    </xf>
    <xf borderId="30" fillId="15" fontId="4" numFmtId="166" xfId="0" applyAlignment="1" applyBorder="1" applyFont="1" applyNumberFormat="1">
      <alignment horizontal="center"/>
    </xf>
    <xf borderId="31" fillId="0" fontId="3" numFmtId="0" xfId="0" applyAlignment="1" applyBorder="1" applyFont="1">
      <alignment horizontal="center"/>
    </xf>
    <xf borderId="29" fillId="0" fontId="4" numFmtId="3" xfId="0" applyAlignment="1" applyBorder="1" applyFont="1" applyNumberFormat="1">
      <alignment horizontal="center"/>
    </xf>
    <xf borderId="29" fillId="0" fontId="4" numFmtId="165" xfId="0" applyAlignment="1" applyBorder="1" applyFont="1" applyNumberFormat="1">
      <alignment horizontal="center"/>
    </xf>
    <xf borderId="32" fillId="0" fontId="4" numFmtId="166" xfId="0" applyAlignment="1" applyBorder="1" applyFont="1" applyNumberFormat="1">
      <alignment horizontal="center"/>
    </xf>
    <xf borderId="33" fillId="15" fontId="3" numFmtId="0" xfId="0" applyAlignment="1" applyBorder="1" applyFont="1">
      <alignment horizontal="center"/>
    </xf>
    <xf borderId="34" fillId="15" fontId="4" numFmtId="3" xfId="0" applyAlignment="1" applyBorder="1" applyFont="1" applyNumberFormat="1">
      <alignment horizontal="center"/>
    </xf>
    <xf borderId="35" fillId="0" fontId="4" numFmtId="0" xfId="0" applyBorder="1" applyFont="1"/>
    <xf borderId="34" fillId="15" fontId="4" numFmtId="165" xfId="0" applyAlignment="1" applyBorder="1" applyFont="1" applyNumberFormat="1">
      <alignment horizontal="center"/>
    </xf>
    <xf borderId="36" fillId="15" fontId="4" numFmtId="166" xfId="0" applyAlignment="1" applyBorder="1" applyFont="1" applyNumberFormat="1">
      <alignment horizontal="center"/>
    </xf>
    <xf borderId="28" fillId="15" fontId="4" numFmtId="167" xfId="0" applyAlignment="1" applyBorder="1" applyFont="1" applyNumberFormat="1">
      <alignment horizontal="center"/>
    </xf>
    <xf borderId="30" fillId="15" fontId="4" numFmtId="165" xfId="0" applyAlignment="1" applyBorder="1" applyFont="1" applyNumberFormat="1">
      <alignment horizontal="center"/>
    </xf>
    <xf borderId="37" fillId="0" fontId="3" numFmtId="0" xfId="0" applyAlignment="1" applyBorder="1" applyFont="1">
      <alignment horizontal="center"/>
    </xf>
    <xf borderId="35" fillId="0" fontId="4" numFmtId="3" xfId="0" applyAlignment="1" applyBorder="1" applyFont="1" applyNumberFormat="1">
      <alignment horizontal="center"/>
    </xf>
    <xf borderId="35" fillId="0" fontId="4" numFmtId="167" xfId="0" applyAlignment="1" applyBorder="1" applyFont="1" applyNumberFormat="1">
      <alignment horizontal="center"/>
    </xf>
    <xf borderId="38" fillId="0" fontId="4" numFmtId="165" xfId="0" applyAlignment="1" applyBorder="1" applyFont="1" applyNumberFormat="1">
      <alignment horizontal="center"/>
    </xf>
    <xf borderId="39" fillId="0" fontId="4" numFmtId="0" xfId="0" applyBorder="1" applyFont="1"/>
    <xf borderId="27" fillId="13" fontId="43" numFmtId="0" xfId="0" applyAlignment="1" applyBorder="1" applyFont="1">
      <alignment horizontal="left"/>
    </xf>
    <xf borderId="30" fillId="13" fontId="44" numFmtId="3" xfId="0" applyAlignment="1" applyBorder="1" applyFont="1" applyNumberFormat="1">
      <alignment horizontal="center"/>
    </xf>
    <xf borderId="30" fillId="15" fontId="4" numFmtId="0" xfId="0" applyAlignment="1" applyBorder="1" applyFont="1">
      <alignment horizontal="center"/>
    </xf>
    <xf borderId="27" fillId="16" fontId="45" numFmtId="0" xfId="0" applyAlignment="1" applyBorder="1" applyFill="1" applyFont="1">
      <alignment horizontal="left"/>
    </xf>
    <xf borderId="30" fillId="16" fontId="46" numFmtId="3" xfId="0" applyAlignment="1" applyBorder="1" applyFont="1" applyNumberFormat="1">
      <alignment horizontal="center"/>
    </xf>
    <xf borderId="29" fillId="0" fontId="4" numFmtId="167" xfId="0" applyAlignment="1" applyBorder="1" applyFont="1" applyNumberFormat="1">
      <alignment horizontal="center"/>
    </xf>
    <xf borderId="32" fillId="0" fontId="4" numFmtId="0" xfId="0" applyAlignment="1" applyBorder="1" applyFont="1">
      <alignment horizontal="center"/>
    </xf>
    <xf borderId="33" fillId="14" fontId="47" numFmtId="0" xfId="0" applyAlignment="1" applyBorder="1" applyFont="1">
      <alignment horizontal="left"/>
    </xf>
    <xf borderId="36" fillId="14" fontId="48" numFmtId="3" xfId="0" applyAlignment="1" applyBorder="1" applyFont="1" applyNumberFormat="1">
      <alignment horizontal="center"/>
    </xf>
    <xf borderId="40" fillId="14" fontId="47" numFmtId="0" xfId="0" applyAlignment="1" applyBorder="1" applyFont="1">
      <alignment horizontal="left"/>
    </xf>
    <xf borderId="40" fillId="14" fontId="48" numFmtId="3" xfId="0" applyAlignment="1" applyBorder="1" applyFont="1" applyNumberFormat="1">
      <alignment horizontal="center"/>
    </xf>
    <xf borderId="34" fillId="15" fontId="4" numFmtId="167" xfId="0" applyAlignment="1" applyBorder="1" applyFont="1" applyNumberFormat="1">
      <alignment horizontal="center"/>
    </xf>
    <xf borderId="36" fillId="15" fontId="4" numFmtId="0" xfId="0" applyAlignment="1" applyBorder="1" applyFont="1">
      <alignment horizontal="center"/>
    </xf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C00000"/>
          <bgColor rgb="FFC0000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7030A0"/>
      </font>
      <fill>
        <patternFill patternType="solid">
          <fgColor rgb="FFE2BFEE"/>
          <bgColor rgb="FFE2BFEE"/>
        </patternFill>
      </fill>
      <border/>
    </dxf>
    <dxf>
      <font>
        <color rgb="FFC0392B"/>
      </font>
      <fill>
        <patternFill patternType="solid">
          <fgColor rgb="FFFADBD8"/>
          <bgColor rgb="FFFADBD8"/>
        </patternFill>
      </fill>
      <border/>
    </dxf>
    <dxf>
      <font>
        <color rgb="FF9C5700"/>
      </font>
      <fill>
        <patternFill patternType="solid">
          <fgColor rgb="FFFFF3CD"/>
          <bgColor rgb="FFFFF3CD"/>
        </patternFill>
      </fill>
      <border/>
    </dxf>
    <dxf>
      <font>
        <color rgb="FF006100"/>
      </font>
      <fill>
        <patternFill patternType="solid">
          <fgColor rgb="FFD4EDDA"/>
          <bgColor rgb="FFD4EDDA"/>
        </patternFill>
      </fill>
      <border/>
    </dxf>
    <dxf>
      <font>
        <b/>
        <color rgb="FFC0392B"/>
      </font>
      <fill>
        <patternFill patternType="none"/>
      </fill>
      <border/>
    </dxf>
    <dxf>
      <font>
        <b/>
        <color rgb="FFE67E22"/>
      </font>
      <fill>
        <patternFill patternType="none"/>
      </fill>
      <border/>
    </dxf>
    <dxf>
      <font>
        <b/>
        <color rgb="FF1E8449"/>
      </font>
      <fill>
        <patternFill patternType="none"/>
      </fill>
      <border/>
    </dxf>
    <dxf>
      <font>
        <b/>
        <color rgb="FF006100"/>
      </font>
      <fill>
        <patternFill patternType="solid">
          <fgColor rgb="FFD4EDDA"/>
          <bgColor rgb="FFD4EDDA"/>
        </patternFill>
      </fill>
      <border/>
    </dxf>
    <dxf>
      <font>
        <b/>
        <color rgb="FFC0392B"/>
      </font>
      <fill>
        <patternFill patternType="solid">
          <fgColor rgb="FFFADBD8"/>
          <bgColor rgb="FFFADBD8"/>
        </patternFill>
      </fill>
      <border/>
    </dxf>
    <dxf>
      <font>
        <b/>
        <color rgb="FF9C5700"/>
      </font>
      <fill>
        <patternFill patternType="solid">
          <fgColor rgb="FFFFF3CD"/>
          <bgColor rgb="FFFFF3CD"/>
        </patternFill>
      </fill>
      <border/>
    </dxf>
    <dxf>
      <font>
        <color rgb="FF6C757D"/>
      </font>
      <fill>
        <patternFill patternType="solid">
          <fgColor rgb="FFE9ECEF"/>
          <bgColor rgb="FFE9ECEF"/>
        </patternFill>
      </fill>
      <border/>
    </dxf>
  </dxfs>
  <tableStyles count="1">
    <tableStyle count="4" pivot="0" name="Assessment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+mn-lt"/>
              </a:defRPr>
            </a:pPr>
            <a:r>
              <a:rPr b="1" i="0" sz="1200">
                <a:solidFill>
                  <a:srgbClr val="1F4E79"/>
                </a:solidFill>
                <a:latin typeface="+mn-lt"/>
              </a:rPr>
              <a:t>Scheme-wise Financial Summary (₹)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Income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Dashboard!$K$3:$K$8</c:f>
            </c:strRef>
          </c:cat>
          <c:val>
            <c:numRef>
              <c:f>Dashboard!$N$3:$N$8</c:f>
              <c:numCache/>
            </c:numRef>
          </c:val>
        </c:ser>
        <c:ser>
          <c:idx val="1"/>
          <c:order val="1"/>
          <c:tx>
            <c:v>Expenses</c:v>
          </c:tx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Dashboard!$K$3:$K$8</c:f>
            </c:strRef>
          </c:cat>
          <c:val>
            <c:numRef>
              <c:f>Dashboard!$O$3:$O$8</c:f>
              <c:numCache/>
            </c:numRef>
          </c:val>
        </c:ser>
        <c:ser>
          <c:idx val="2"/>
          <c:order val="2"/>
          <c:tx>
            <c:v>Profit</c:v>
          </c:tx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Dashboard!$K$3:$K$8</c:f>
            </c:strRef>
          </c:cat>
          <c:val>
            <c:numRef>
              <c:f>Dashboard!$P$3:$P$8</c:f>
              <c:numCache/>
            </c:numRef>
          </c:val>
        </c:ser>
        <c:axId val="2042954173"/>
        <c:axId val="2024173451"/>
      </c:barChart>
      <c:catAx>
        <c:axId val="2042954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4173451"/>
      </c:catAx>
      <c:valAx>
        <c:axId val="2024173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295417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+mn-lt"/>
              </a:defRPr>
            </a:pPr>
            <a:r>
              <a:rPr b="1" i="0" sz="1200">
                <a:solidFill>
                  <a:srgbClr val="1F4E79"/>
                </a:solidFill>
                <a:latin typeface="+mn-lt"/>
              </a:rPr>
              <a:t>Scheme-wise Batches &amp; Candidates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Batches</c:v>
          </c:tx>
          <c:spPr>
            <a:solidFill>
              <a:srgbClr val="3498DB"/>
            </a:solidFill>
            <a:ln cmpd="sng">
              <a:solidFill>
                <a:srgbClr val="000000"/>
              </a:solidFill>
            </a:ln>
          </c:spPr>
          <c:cat>
            <c:strRef>
              <c:f>Dashboard!$K$3:$K$8</c:f>
            </c:strRef>
          </c:cat>
          <c:val>
            <c:numRef>
              <c:f>Dashboard!$L$3:$L$8</c:f>
              <c:numCache/>
            </c:numRef>
          </c:val>
        </c:ser>
        <c:ser>
          <c:idx val="1"/>
          <c:order val="1"/>
          <c:tx>
            <c:v>Candidates</c:v>
          </c:tx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Dashboard!$K$3:$K$8</c:f>
            </c:strRef>
          </c:cat>
          <c:val>
            <c:numRef>
              <c:f>Dashboard!$M$3:$M$8</c:f>
              <c:numCache/>
            </c:numRef>
          </c:val>
        </c:ser>
        <c:axId val="883972459"/>
        <c:axId val="318225917"/>
      </c:barChart>
      <c:catAx>
        <c:axId val="883972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8225917"/>
      </c:catAx>
      <c:valAx>
        <c:axId val="318225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397245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+mn-lt"/>
              </a:defRPr>
            </a:pPr>
            <a:r>
              <a:rPr b="1" i="0" sz="1200">
                <a:solidFill>
                  <a:srgbClr val="1F4E79"/>
                </a:solidFill>
                <a:latin typeface="+mn-lt"/>
              </a:rPr>
              <a:t>Assessor-wise: Candidates vs Passed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Candidates</c:v>
          </c:tx>
          <c:spPr>
            <a:solidFill>
              <a:srgbClr val="2980B9"/>
            </a:solidFill>
            <a:ln cmpd="sng">
              <a:solidFill>
                <a:srgbClr val="000000"/>
              </a:solidFill>
            </a:ln>
          </c:spPr>
          <c:cat>
            <c:strRef>
              <c:f>Dashboard!$K$12:$K$13</c:f>
            </c:strRef>
          </c:cat>
          <c:val>
            <c:numRef>
              <c:f>Dashboard!$M$12:$M$13</c:f>
              <c:numCache/>
            </c:numRef>
          </c:val>
        </c:ser>
        <c:ser>
          <c:idx val="1"/>
          <c:order val="1"/>
          <c:tx>
            <c:v>Passed</c:v>
          </c:tx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Dashboard!$K$12:$K$13</c:f>
            </c:strRef>
          </c:cat>
          <c:val>
            <c:numRef>
              <c:f>Dashboard!$N$12:$N$13</c:f>
              <c:numCache/>
            </c:numRef>
          </c:val>
        </c:ser>
        <c:axId val="498008313"/>
        <c:axId val="1717749072"/>
      </c:barChart>
      <c:catAx>
        <c:axId val="498008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7749072"/>
      </c:catAx>
      <c:valAx>
        <c:axId val="1717749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800831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+mn-lt"/>
              </a:defRPr>
            </a:pPr>
            <a:r>
              <a:rPr b="1" i="0" sz="1200">
                <a:solidFill>
                  <a:srgbClr val="1F4E79"/>
                </a:solidFill>
                <a:latin typeface="+mn-lt"/>
              </a:rPr>
              <a:t>Assessor-wise Fee (₹)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Assessor Fee</c:v>
          </c:tx>
          <c:spPr>
            <a:solidFill>
              <a:srgbClr val="8E44A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Dashboard!$K$12:$K$13</c:f>
            </c:strRef>
          </c:cat>
          <c:val>
            <c:numRef>
              <c:f>Dashboard!$P$12:$P$13</c:f>
              <c:numCache/>
            </c:numRef>
          </c:val>
        </c:ser>
        <c:axId val="261849802"/>
        <c:axId val="59356303"/>
      </c:barChart>
      <c:catAx>
        <c:axId val="2618498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356303"/>
      </c:catAx>
      <c:valAx>
        <c:axId val="593563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1849802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+mn-lt"/>
              </a:defRPr>
            </a:pPr>
            <a:r>
              <a:rPr b="1" i="0" sz="1200">
                <a:solidFill>
                  <a:srgbClr val="1F4E79"/>
                </a:solidFill>
                <a:latin typeface="+mn-lt"/>
              </a:rPr>
              <a:t>Overall Pass vs Fail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Dashboard!$L$23</c:f>
            </c:strRef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Dashboard!$K$24:$K$25</c:f>
            </c:strRef>
          </c:cat>
          <c:val>
            <c:numRef>
              <c:f>Dashboard!$L$24:$L$25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+mn-lt"/>
              </a:defRPr>
            </a:pPr>
            <a:r>
              <a:rPr b="1" i="0" sz="1200">
                <a:solidFill>
                  <a:srgbClr val="1F4E79"/>
                </a:solidFill>
                <a:latin typeface="+mn-lt"/>
              </a:rPr>
              <a:t>Approval Status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Dashboard!$L$17</c:f>
            </c:strRef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Dashboard!$K$18:$K$20</c:f>
            </c:strRef>
          </c:cat>
          <c:val>
            <c:numRef>
              <c:f>Dashboard!$L$18:$L$20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0</xdr:rowOff>
    </xdr:from>
    <xdr:ext cx="2981325" cy="3076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33</xdr:row>
      <xdr:rowOff>0</xdr:rowOff>
    </xdr:from>
    <xdr:ext cx="2952750" cy="3076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0</xdr:rowOff>
    </xdr:from>
    <xdr:ext cx="2981325" cy="28956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50</xdr:row>
      <xdr:rowOff>0</xdr:rowOff>
    </xdr:from>
    <xdr:ext cx="2952750" cy="28956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66</xdr:row>
      <xdr:rowOff>0</xdr:rowOff>
    </xdr:from>
    <xdr:ext cx="2981325" cy="27146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0</xdr:colOff>
      <xdr:row>66</xdr:row>
      <xdr:rowOff>0</xdr:rowOff>
    </xdr:from>
    <xdr:ext cx="2952750" cy="27146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Y1012" displayName="Assessment_Tracker" name="Assessment_Tracker" id="1">
  <tableColumns count="51">
    <tableColumn name="Sr No." id="1"/>
    <tableColumn name="Scheme" id="2"/>
    <tableColumn name="Batch ID" id="3"/>
    <tableColumn name="Day" id="4"/>
    <tableColumn name="Sector" id="5"/>
    <tableColumn name="Group Status" id="6"/>
    <tableColumn name="Job Role" id="7"/>
    <tableColumn name="TP Name " id="8"/>
    <tableColumn name="District" id="9"/>
    <tableColumn name="State" id="10"/>
    <tableColumn name="Assessment Start Date" id="11"/>
    <tableColumn name="Assessment End Date" id="12"/>
    <tableColumn name="Total Candidates" id="13"/>
    <tableColumn name="Present" id="14"/>
    <tableColumn name="Absent" id="15"/>
    <tableColumn name="Male Count" id="16"/>
    <tableColumn name="Female Count" id="17"/>
    <tableColumn name="Passed" id="18"/>
    <tableColumn name="Failed" id="19"/>
    <tableColumn name="Result Date" id="20"/>
    <tableColumn name="Result" id="21"/>
    <tableColumn name="Pass %" id="22"/>
    <tableColumn name="Fail %" id="23"/>
    <tableColumn name="Assessor Name" id="24"/>
    <tableColumn name="User ID" id="25"/>
    <tableColumn name="Trainer Name" id="26"/>
    <tableColumn name="Trainer ID" id="27"/>
    <tableColumn name="Rate/Candidate (₹)" id="28"/>
    <tableColumn name="Total Income (₹)" id="29"/>
    <tableColumn name="Assessor Fee (₹)" id="30"/>
    <tableColumn name="TA/DA (₹)" id="31"/>
    <tableColumn name="Total Exp. (₹)" id="32"/>
    <tableColumn name="Profit/Loss (₹)" id="33"/>
    <tableColumn name="Expense %" id="34"/>
    <tableColumn name="Status" id="35"/>
    <tableColumn name="Remarks" id="36"/>
    <tableColumn name="Assessor Aligned By" id="37"/>
    <tableColumn name="Approved By" id="38"/>
    <tableColumn name="Approval Date" id="39"/>
    <tableColumn name="Decision" id="40"/>
    <tableColumn name="Final Status" id="41"/>
    <tableColumn name="Assessor Invoice" id="42"/>
    <tableColumn name="Assessor Expenses Tickets" id="43"/>
    <tableColumn name="Payment Status" id="44"/>
    <tableColumn name="Payment Amount" id="45"/>
    <tableColumn name="Payment Reference ID" id="46"/>
    <tableColumn name="Payment Mode" id="47"/>
    <tableColumn name="Payment Slip Uploaded in drive" id="48"/>
    <tableColumn name="Theory Link" id="49"/>
    <tableColumn name="Practical " id="50"/>
    <tableColumn name="Viva" id="51"/>
  </tableColumns>
  <tableStyleInfo name="Assessment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1RgGHdXvEN7luxqe-Tvxifm1UIN4WQZl?usp=sharing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6.57"/>
    <col customWidth="1" min="3" max="3" width="20.57"/>
    <col customWidth="1" min="4" max="4" width="44.0"/>
    <col customWidth="1" min="5" max="5" width="6.57"/>
    <col customWidth="1" min="6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/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ht="14.25" customHeight="1">
      <c r="A4" s="5">
        <v>1.0</v>
      </c>
      <c r="B4" s="6" t="s">
        <v>6</v>
      </c>
      <c r="C4" s="6">
        <v>480.0</v>
      </c>
      <c r="D4" s="7" t="s">
        <v>7</v>
      </c>
      <c r="E4" s="8" t="s">
        <v>8</v>
      </c>
      <c r="F4" s="9"/>
    </row>
    <row r="5" ht="14.25" customHeight="1">
      <c r="A5" s="5">
        <v>2.0</v>
      </c>
      <c r="B5" s="10" t="s">
        <v>9</v>
      </c>
      <c r="C5" s="10">
        <v>720.0</v>
      </c>
      <c r="D5" s="7" t="s">
        <v>10</v>
      </c>
      <c r="E5" s="8" t="s">
        <v>8</v>
      </c>
      <c r="F5" s="9"/>
    </row>
    <row r="6" ht="14.25" customHeight="1">
      <c r="A6" s="5">
        <v>3.0</v>
      </c>
      <c r="B6" s="6" t="s">
        <v>11</v>
      </c>
      <c r="C6" s="6">
        <v>540.0</v>
      </c>
      <c r="D6" s="7" t="s">
        <v>12</v>
      </c>
      <c r="E6" s="8"/>
      <c r="F6" s="9"/>
    </row>
    <row r="7" ht="14.25" customHeight="1">
      <c r="A7" s="5">
        <v>4.0</v>
      </c>
      <c r="B7" s="10" t="s">
        <v>13</v>
      </c>
      <c r="C7" s="10">
        <v>540.0</v>
      </c>
      <c r="D7" s="7"/>
      <c r="E7" s="8"/>
      <c r="F7" s="9"/>
    </row>
    <row r="8" ht="14.25" customHeight="1">
      <c r="A8" s="5">
        <v>5.0</v>
      </c>
      <c r="B8" s="6" t="s">
        <v>14</v>
      </c>
      <c r="C8" s="6">
        <v>720.0</v>
      </c>
      <c r="D8" s="7"/>
      <c r="E8" s="8"/>
      <c r="F8" s="9"/>
    </row>
    <row r="9" ht="14.25" customHeight="1">
      <c r="A9" s="5">
        <v>6.0</v>
      </c>
      <c r="B9" s="10" t="s">
        <v>15</v>
      </c>
      <c r="C9" s="10">
        <v>540.0</v>
      </c>
      <c r="D9" s="11"/>
      <c r="E9" s="11"/>
      <c r="F9" s="9"/>
    </row>
    <row r="10" ht="14.25" customHeight="1">
      <c r="A10" s="5">
        <v>7.0</v>
      </c>
      <c r="B10" s="6" t="s">
        <v>16</v>
      </c>
      <c r="C10" s="6">
        <v>400.0</v>
      </c>
      <c r="D10" s="11"/>
      <c r="E10" s="11"/>
      <c r="F10" s="9"/>
    </row>
    <row r="11" ht="14.25" customHeight="1">
      <c r="A11" s="5">
        <v>8.0</v>
      </c>
      <c r="B11" s="10" t="s">
        <v>17</v>
      </c>
      <c r="C11" s="10">
        <v>540.0</v>
      </c>
      <c r="D11" s="11"/>
      <c r="E11" s="11"/>
    </row>
    <row r="12" ht="14.25" customHeight="1">
      <c r="A12" s="5">
        <v>9.0</v>
      </c>
      <c r="B12" s="6" t="s">
        <v>18</v>
      </c>
      <c r="C12" s="6">
        <v>600.0</v>
      </c>
      <c r="D12" s="11"/>
      <c r="E12" s="11"/>
    </row>
    <row r="13" ht="14.25" customHeight="1">
      <c r="A13" s="5">
        <v>10.0</v>
      </c>
      <c r="B13" s="10" t="s">
        <v>19</v>
      </c>
      <c r="C13" s="10">
        <v>400.0</v>
      </c>
      <c r="D13" s="11"/>
      <c r="E13" s="11"/>
    </row>
    <row r="14" ht="14.25" customHeight="1">
      <c r="A14" s="5">
        <v>11.0</v>
      </c>
      <c r="B14" s="6" t="s">
        <v>20</v>
      </c>
      <c r="C14" s="6">
        <v>720.0</v>
      </c>
      <c r="D14" s="11"/>
      <c r="E14" s="11"/>
    </row>
    <row r="15" ht="14.25" customHeight="1">
      <c r="A15" s="5">
        <v>12.0</v>
      </c>
      <c r="B15" s="10" t="s">
        <v>21</v>
      </c>
      <c r="C15" s="10">
        <v>400.0</v>
      </c>
      <c r="D15" s="11"/>
      <c r="E15" s="11"/>
    </row>
    <row r="16" ht="14.25" customHeight="1">
      <c r="A16" s="5">
        <v>13.0</v>
      </c>
      <c r="B16" s="12" t="s">
        <v>22</v>
      </c>
      <c r="C16" s="12">
        <v>600.0</v>
      </c>
      <c r="D16" s="11"/>
      <c r="E16" s="11"/>
    </row>
    <row r="17" ht="14.25" customHeight="1">
      <c r="A17" s="5">
        <v>14.0</v>
      </c>
      <c r="B17" s="6" t="s">
        <v>23</v>
      </c>
      <c r="C17" s="6">
        <v>360.0</v>
      </c>
      <c r="D17" s="11"/>
      <c r="E17" s="11"/>
    </row>
    <row r="18" ht="14.25" customHeight="1">
      <c r="A18" s="5">
        <v>15.0</v>
      </c>
      <c r="B18" s="10" t="s">
        <v>24</v>
      </c>
      <c r="C18" s="10">
        <v>600.0</v>
      </c>
      <c r="D18" s="11"/>
      <c r="E18" s="11"/>
    </row>
    <row r="19" ht="14.25" customHeight="1">
      <c r="A19" s="5">
        <v>16.0</v>
      </c>
      <c r="B19" s="6" t="s">
        <v>9</v>
      </c>
      <c r="C19" s="6">
        <v>720.0</v>
      </c>
      <c r="D19" s="11"/>
      <c r="E19" s="11"/>
    </row>
    <row r="20" ht="14.25" customHeight="1">
      <c r="A20" s="5">
        <v>17.0</v>
      </c>
      <c r="B20" s="10" t="s">
        <v>25</v>
      </c>
      <c r="C20" s="10">
        <v>120.0</v>
      </c>
      <c r="D20" s="11"/>
      <c r="E20" s="11"/>
    </row>
    <row r="21" ht="14.25" customHeight="1">
      <c r="A21" s="5">
        <v>18.0</v>
      </c>
      <c r="B21" s="6" t="s">
        <v>26</v>
      </c>
      <c r="C21" s="6">
        <v>500.0</v>
      </c>
      <c r="D21" s="11"/>
      <c r="E21" s="11"/>
    </row>
    <row r="22" ht="14.25" customHeight="1">
      <c r="A22" s="5">
        <v>19.0</v>
      </c>
      <c r="B22" s="10" t="s">
        <v>26</v>
      </c>
      <c r="C22" s="10">
        <v>720.0</v>
      </c>
      <c r="D22" s="11"/>
      <c r="E22" s="11"/>
    </row>
    <row r="23" ht="14.25" customHeight="1">
      <c r="A23" s="5">
        <v>20.0</v>
      </c>
      <c r="B23" s="6" t="s">
        <v>27</v>
      </c>
      <c r="C23" s="6">
        <v>120.0</v>
      </c>
      <c r="D23" s="11"/>
      <c r="E23" s="11"/>
    </row>
    <row r="24" ht="14.25" customHeight="1">
      <c r="A24" s="5">
        <v>21.0</v>
      </c>
      <c r="B24" s="6" t="s">
        <v>28</v>
      </c>
      <c r="C24" s="6">
        <v>720.0</v>
      </c>
      <c r="D24" s="11"/>
      <c r="E24" s="11"/>
    </row>
    <row r="25" ht="14.25" customHeight="1">
      <c r="A25" s="5">
        <v>22.0</v>
      </c>
      <c r="B25" s="10" t="s">
        <v>29</v>
      </c>
      <c r="C25" s="10">
        <v>600.0</v>
      </c>
      <c r="D25" s="11"/>
      <c r="E25" s="11"/>
    </row>
    <row r="26" ht="14.25" customHeight="1">
      <c r="A26" s="5">
        <v>23.0</v>
      </c>
      <c r="B26" s="6" t="s">
        <v>30</v>
      </c>
      <c r="C26" s="6">
        <v>540.0</v>
      </c>
      <c r="D26" s="11"/>
      <c r="E26" s="11"/>
    </row>
    <row r="27" ht="14.25" customHeight="1">
      <c r="A27" s="5">
        <v>24.0</v>
      </c>
      <c r="B27" s="10" t="s">
        <v>31</v>
      </c>
      <c r="C27" s="10">
        <v>480.0</v>
      </c>
      <c r="D27" s="11"/>
      <c r="E27" s="11"/>
    </row>
    <row r="28" ht="14.25" customHeight="1">
      <c r="A28" s="5">
        <v>25.0</v>
      </c>
      <c r="B28" s="6" t="s">
        <v>32</v>
      </c>
      <c r="C28" s="6">
        <v>250.0</v>
      </c>
      <c r="D28" s="11"/>
      <c r="E28" s="11"/>
    </row>
    <row r="29" ht="14.25" customHeight="1">
      <c r="A29" s="5">
        <v>26.0</v>
      </c>
      <c r="B29" s="10" t="s">
        <v>33</v>
      </c>
      <c r="C29" s="10">
        <v>400.0</v>
      </c>
      <c r="D29" s="11"/>
      <c r="E29" s="11"/>
    </row>
    <row r="30" ht="14.25" customHeight="1">
      <c r="A30" s="5">
        <v>27.0</v>
      </c>
      <c r="B30" s="6" t="s">
        <v>34</v>
      </c>
      <c r="C30" s="6">
        <v>200.0</v>
      </c>
      <c r="D30" s="11"/>
      <c r="E30" s="11"/>
    </row>
    <row r="31" ht="14.25" customHeight="1">
      <c r="A31" s="5">
        <v>28.0</v>
      </c>
      <c r="B31" s="10" t="s">
        <v>35</v>
      </c>
      <c r="C31" s="10">
        <v>720.0</v>
      </c>
      <c r="D31" s="11"/>
      <c r="E31" s="11"/>
    </row>
    <row r="32" ht="14.25" customHeight="1">
      <c r="A32" s="5">
        <v>29.0</v>
      </c>
      <c r="B32" s="6" t="s">
        <v>36</v>
      </c>
      <c r="C32" s="6">
        <v>70.0</v>
      </c>
      <c r="D32" s="11"/>
      <c r="E32" s="11"/>
    </row>
    <row r="33" ht="14.25" customHeight="1">
      <c r="A33" s="5">
        <v>30.0</v>
      </c>
      <c r="B33" s="10" t="s">
        <v>36</v>
      </c>
      <c r="C33" s="10">
        <v>200.0</v>
      </c>
      <c r="D33" s="11"/>
      <c r="E33" s="11"/>
    </row>
    <row r="34" ht="14.25" customHeight="1">
      <c r="A34" s="5">
        <v>31.0</v>
      </c>
      <c r="B34" s="6" t="s">
        <v>36</v>
      </c>
      <c r="C34" s="6">
        <v>400.0</v>
      </c>
      <c r="D34" s="11"/>
      <c r="E34" s="11"/>
    </row>
    <row r="35" ht="14.25" customHeight="1">
      <c r="A35" s="5">
        <v>32.0</v>
      </c>
      <c r="B35" s="10" t="s">
        <v>37</v>
      </c>
      <c r="C35" s="10">
        <v>70.0</v>
      </c>
      <c r="D35" s="11"/>
      <c r="E35" s="11"/>
    </row>
    <row r="36" ht="14.25" customHeight="1">
      <c r="A36" s="5">
        <v>33.0</v>
      </c>
      <c r="B36" s="6" t="s">
        <v>38</v>
      </c>
      <c r="C36" s="6">
        <v>70.0</v>
      </c>
      <c r="D36" s="11"/>
      <c r="E36" s="11"/>
    </row>
    <row r="37" ht="14.25" customHeight="1">
      <c r="A37" s="5">
        <v>34.0</v>
      </c>
      <c r="B37" s="10" t="s">
        <v>39</v>
      </c>
      <c r="C37" s="10">
        <v>70.0</v>
      </c>
      <c r="D37" s="11"/>
      <c r="E37" s="11"/>
    </row>
    <row r="38" ht="14.25" customHeight="1">
      <c r="A38" s="5">
        <v>35.0</v>
      </c>
      <c r="B38" s="6" t="s">
        <v>40</v>
      </c>
      <c r="C38" s="6">
        <v>70.0</v>
      </c>
      <c r="D38" s="11"/>
      <c r="E38" s="11"/>
    </row>
    <row r="39" ht="14.25" customHeight="1">
      <c r="A39" s="5">
        <v>36.0</v>
      </c>
      <c r="B39" s="10" t="s">
        <v>41</v>
      </c>
      <c r="C39" s="10">
        <v>70.0</v>
      </c>
      <c r="D39" s="11"/>
      <c r="E39" s="11"/>
    </row>
    <row r="40" ht="14.25" customHeight="1">
      <c r="A40" s="5">
        <v>37.0</v>
      </c>
      <c r="B40" s="6" t="s">
        <v>42</v>
      </c>
      <c r="C40" s="6">
        <v>70.0</v>
      </c>
      <c r="D40" s="11"/>
      <c r="E40" s="11"/>
    </row>
    <row r="41" ht="14.25" customHeight="1">
      <c r="A41" s="5">
        <v>38.0</v>
      </c>
      <c r="B41" s="10" t="s">
        <v>43</v>
      </c>
      <c r="C41" s="10">
        <v>240.0</v>
      </c>
      <c r="D41" s="11"/>
      <c r="E41" s="11"/>
    </row>
    <row r="42" ht="14.25" customHeight="1">
      <c r="A42" s="5">
        <v>39.0</v>
      </c>
      <c r="B42" s="6" t="s">
        <v>44</v>
      </c>
      <c r="C42" s="6">
        <v>400.0</v>
      </c>
      <c r="D42" s="11"/>
      <c r="E42" s="11"/>
    </row>
    <row r="43" ht="14.25" customHeight="1">
      <c r="A43" s="5">
        <v>40.0</v>
      </c>
      <c r="B43" s="10" t="s">
        <v>44</v>
      </c>
      <c r="C43" s="10">
        <v>450.0</v>
      </c>
      <c r="D43" s="11"/>
      <c r="E43" s="11"/>
    </row>
    <row r="44" ht="14.25" customHeight="1">
      <c r="A44" s="5">
        <v>41.0</v>
      </c>
      <c r="B44" s="6" t="s">
        <v>44</v>
      </c>
      <c r="C44" s="6">
        <v>600.0</v>
      </c>
      <c r="D44" s="11"/>
      <c r="E44" s="11"/>
    </row>
    <row r="45" ht="14.25" customHeight="1">
      <c r="A45" s="5">
        <v>43.0</v>
      </c>
      <c r="B45" s="6" t="s">
        <v>45</v>
      </c>
      <c r="C45" s="6">
        <v>360.0</v>
      </c>
      <c r="D45" s="11"/>
      <c r="E45" s="11"/>
    </row>
    <row r="46" ht="14.25" customHeight="1">
      <c r="A46" s="5">
        <v>46.0</v>
      </c>
      <c r="B46" s="10" t="s">
        <v>46</v>
      </c>
      <c r="C46" s="10">
        <v>360.0</v>
      </c>
      <c r="D46" s="11"/>
      <c r="E46" s="11"/>
    </row>
    <row r="47" ht="14.25" customHeight="1">
      <c r="A47" s="5">
        <v>47.0</v>
      </c>
      <c r="B47" s="10" t="s">
        <v>47</v>
      </c>
      <c r="C47" s="10">
        <v>420.0</v>
      </c>
      <c r="D47" s="11"/>
      <c r="E47" s="11"/>
    </row>
    <row r="48" ht="14.25" customHeight="1">
      <c r="A48" s="7">
        <f t="shared" ref="A48:A70" si="1">A47+1</f>
        <v>48</v>
      </c>
      <c r="B48" s="10" t="s">
        <v>48</v>
      </c>
      <c r="C48" s="10">
        <v>480.0</v>
      </c>
      <c r="D48" s="11"/>
      <c r="E48" s="11"/>
    </row>
    <row r="49" ht="14.25" customHeight="1">
      <c r="A49" s="7">
        <f t="shared" si="1"/>
        <v>49</v>
      </c>
      <c r="B49" s="6" t="s">
        <v>49</v>
      </c>
      <c r="C49" s="6">
        <v>70.0</v>
      </c>
      <c r="D49" s="12" t="s">
        <v>50</v>
      </c>
      <c r="E49" s="11"/>
    </row>
    <row r="50" ht="14.25" customHeight="1">
      <c r="A50" s="7">
        <f t="shared" si="1"/>
        <v>50</v>
      </c>
      <c r="B50" s="6" t="s">
        <v>51</v>
      </c>
      <c r="C50" s="6">
        <v>400.0</v>
      </c>
      <c r="D50" s="11"/>
      <c r="E50" s="11"/>
    </row>
    <row r="51" ht="14.25" customHeight="1">
      <c r="A51" s="7">
        <f t="shared" si="1"/>
        <v>51</v>
      </c>
      <c r="B51" s="10" t="s">
        <v>52</v>
      </c>
      <c r="C51" s="10">
        <v>400.0</v>
      </c>
      <c r="D51" s="11"/>
      <c r="E51" s="11"/>
    </row>
    <row r="52" ht="14.25" customHeight="1">
      <c r="A52" s="7">
        <f t="shared" si="1"/>
        <v>52</v>
      </c>
      <c r="B52" s="6" t="s">
        <v>53</v>
      </c>
      <c r="C52" s="6">
        <v>400.0</v>
      </c>
      <c r="D52" s="11"/>
      <c r="E52" s="11"/>
    </row>
    <row r="53" ht="14.25" customHeight="1">
      <c r="A53" s="7">
        <f t="shared" si="1"/>
        <v>53</v>
      </c>
      <c r="B53" s="10" t="s">
        <v>54</v>
      </c>
      <c r="C53" s="10">
        <v>480.0</v>
      </c>
      <c r="D53" s="11"/>
      <c r="E53" s="11"/>
    </row>
    <row r="54" ht="14.25" customHeight="1">
      <c r="A54" s="7">
        <f t="shared" si="1"/>
        <v>54</v>
      </c>
      <c r="B54" s="6" t="s">
        <v>55</v>
      </c>
      <c r="C54" s="6">
        <v>480.0</v>
      </c>
      <c r="D54" s="11"/>
      <c r="E54" s="11"/>
    </row>
    <row r="55" ht="14.25" customHeight="1">
      <c r="A55" s="7">
        <f t="shared" si="1"/>
        <v>55</v>
      </c>
      <c r="B55" s="10" t="s">
        <v>56</v>
      </c>
      <c r="C55" s="10">
        <v>480.0</v>
      </c>
      <c r="D55" s="11"/>
      <c r="E55" s="11"/>
    </row>
    <row r="56" ht="14.25" customHeight="1">
      <c r="A56" s="7">
        <f t="shared" si="1"/>
        <v>56</v>
      </c>
      <c r="B56" s="6" t="s">
        <v>57</v>
      </c>
      <c r="C56" s="6">
        <v>400.0</v>
      </c>
      <c r="D56" s="11"/>
      <c r="E56" s="11"/>
    </row>
    <row r="57" ht="14.25" customHeight="1">
      <c r="A57" s="7">
        <f t="shared" si="1"/>
        <v>57</v>
      </c>
      <c r="B57" s="6" t="s">
        <v>58</v>
      </c>
      <c r="C57" s="6">
        <v>400.0</v>
      </c>
      <c r="D57" s="11"/>
      <c r="E57" s="11"/>
    </row>
    <row r="58" ht="14.25" customHeight="1">
      <c r="A58" s="7">
        <f t="shared" si="1"/>
        <v>58</v>
      </c>
      <c r="B58" s="10" t="s">
        <v>59</v>
      </c>
      <c r="C58" s="10">
        <v>600.0</v>
      </c>
      <c r="D58" s="11"/>
      <c r="E58" s="11"/>
    </row>
    <row r="59" ht="14.25" customHeight="1">
      <c r="A59" s="7">
        <f t="shared" si="1"/>
        <v>59</v>
      </c>
      <c r="B59" s="6" t="s">
        <v>60</v>
      </c>
      <c r="C59" s="6">
        <v>400.0</v>
      </c>
      <c r="D59" s="11"/>
      <c r="E59" s="11"/>
    </row>
    <row r="60" ht="14.25" customHeight="1">
      <c r="A60" s="7">
        <f t="shared" si="1"/>
        <v>60</v>
      </c>
      <c r="B60" s="10" t="s">
        <v>60</v>
      </c>
      <c r="C60" s="10">
        <v>600.0</v>
      </c>
      <c r="D60" s="11"/>
      <c r="E60" s="11"/>
    </row>
    <row r="61" ht="14.25" customHeight="1">
      <c r="A61" s="7">
        <f t="shared" si="1"/>
        <v>61</v>
      </c>
      <c r="B61" s="6" t="s">
        <v>61</v>
      </c>
      <c r="C61" s="6">
        <v>400.0</v>
      </c>
      <c r="D61" s="11"/>
      <c r="E61" s="11"/>
    </row>
    <row r="62" ht="14.25" customHeight="1">
      <c r="A62" s="7">
        <f t="shared" si="1"/>
        <v>62</v>
      </c>
      <c r="B62" s="10" t="s">
        <v>61</v>
      </c>
      <c r="C62" s="10">
        <v>720.0</v>
      </c>
      <c r="D62" s="11"/>
      <c r="E62" s="11"/>
    </row>
    <row r="63" ht="14.25" customHeight="1">
      <c r="A63" s="7">
        <f t="shared" si="1"/>
        <v>63</v>
      </c>
      <c r="B63" s="6" t="s">
        <v>62</v>
      </c>
      <c r="C63" s="6">
        <v>70.0</v>
      </c>
      <c r="D63" s="11"/>
      <c r="E63" s="11"/>
    </row>
    <row r="64" ht="14.25" customHeight="1">
      <c r="A64" s="7">
        <f t="shared" si="1"/>
        <v>64</v>
      </c>
      <c r="B64" s="10" t="s">
        <v>63</v>
      </c>
      <c r="C64" s="10">
        <v>400.0</v>
      </c>
      <c r="D64" s="11"/>
      <c r="E64" s="11"/>
    </row>
    <row r="65" ht="14.25" customHeight="1">
      <c r="A65" s="7">
        <f t="shared" si="1"/>
        <v>65</v>
      </c>
      <c r="B65" s="6" t="s">
        <v>64</v>
      </c>
      <c r="C65" s="6">
        <v>400.0</v>
      </c>
      <c r="D65" s="11"/>
      <c r="E65" s="11"/>
    </row>
    <row r="66" ht="14.25" customHeight="1">
      <c r="A66" s="7">
        <f t="shared" si="1"/>
        <v>66</v>
      </c>
      <c r="B66" s="10" t="s">
        <v>65</v>
      </c>
      <c r="C66" s="10">
        <v>400.0</v>
      </c>
      <c r="D66" s="11"/>
      <c r="E66" s="11"/>
    </row>
    <row r="67" ht="14.25" customHeight="1">
      <c r="A67" s="7">
        <f t="shared" si="1"/>
        <v>67</v>
      </c>
      <c r="B67" s="6" t="s">
        <v>66</v>
      </c>
      <c r="C67" s="6">
        <v>400.0</v>
      </c>
      <c r="D67" s="11"/>
      <c r="E67" s="11"/>
    </row>
    <row r="68" ht="14.25" customHeight="1">
      <c r="A68" s="7">
        <f t="shared" si="1"/>
        <v>68</v>
      </c>
      <c r="B68" s="10" t="s">
        <v>67</v>
      </c>
      <c r="C68" s="10">
        <v>400.0</v>
      </c>
      <c r="D68" s="11"/>
      <c r="E68" s="11"/>
    </row>
    <row r="69" ht="14.25" customHeight="1">
      <c r="A69" s="7">
        <f t="shared" si="1"/>
        <v>69</v>
      </c>
      <c r="B69" s="6" t="s">
        <v>15</v>
      </c>
      <c r="C69" s="6">
        <v>540.0</v>
      </c>
      <c r="D69" s="11"/>
      <c r="E69" s="11"/>
    </row>
    <row r="70" ht="14.25" customHeight="1">
      <c r="A70" s="7">
        <f t="shared" si="1"/>
        <v>70</v>
      </c>
      <c r="B70" s="10" t="s">
        <v>68</v>
      </c>
      <c r="C70" s="10">
        <v>600.0</v>
      </c>
      <c r="D70" s="11"/>
      <c r="E70" s="11"/>
    </row>
    <row r="71" ht="14.25" customHeight="1">
      <c r="A71" s="12">
        <v>71.0</v>
      </c>
      <c r="B71" s="12" t="s">
        <v>69</v>
      </c>
      <c r="C71" s="12">
        <v>480.0</v>
      </c>
      <c r="D71" s="11"/>
      <c r="E71" s="11"/>
    </row>
    <row r="72" ht="14.25" customHeight="1">
      <c r="A72" s="11"/>
      <c r="B72" s="11"/>
      <c r="C72" s="11"/>
      <c r="D72" s="11"/>
      <c r="E72" s="11"/>
    </row>
    <row r="73" ht="14.25" customHeight="1">
      <c r="A73" s="11"/>
      <c r="B73" s="11"/>
      <c r="C73" s="11"/>
      <c r="D73" s="11"/>
      <c r="E73" s="11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7.29"/>
    <col customWidth="1" min="3" max="3" width="18.14"/>
    <col customWidth="1" min="4" max="4" width="23.57"/>
    <col customWidth="1" min="5" max="5" width="20.0"/>
    <col customWidth="1" min="6" max="6" width="30.86"/>
    <col customWidth="1" min="7" max="7" width="14.57"/>
    <col customWidth="1" min="8" max="26" width="8.71"/>
  </cols>
  <sheetData>
    <row r="1" ht="14.25" customHeight="1">
      <c r="A1" s="1" t="s">
        <v>70</v>
      </c>
      <c r="B1" s="2"/>
      <c r="C1" s="2"/>
      <c r="D1" s="2"/>
      <c r="E1" s="2"/>
      <c r="F1" s="2"/>
      <c r="G1" s="3"/>
    </row>
    <row r="2" ht="14.25" customHeight="1"/>
    <row r="3" ht="14.25" customHeight="1">
      <c r="A3" s="4" t="s">
        <v>1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75</v>
      </c>
      <c r="G3" s="4" t="s">
        <v>5</v>
      </c>
    </row>
    <row r="4" ht="14.25" customHeight="1">
      <c r="A4" s="13">
        <v>1.0</v>
      </c>
      <c r="B4" s="14" t="s">
        <v>76</v>
      </c>
      <c r="C4" s="14" t="s">
        <v>77</v>
      </c>
      <c r="D4" s="13" t="s">
        <v>78</v>
      </c>
      <c r="E4" s="15">
        <v>9.87654321E9</v>
      </c>
      <c r="F4" s="13" t="s">
        <v>79</v>
      </c>
      <c r="G4" s="16" t="s">
        <v>8</v>
      </c>
    </row>
    <row r="5" ht="14.25" customHeight="1">
      <c r="A5" s="13">
        <v>2.0</v>
      </c>
      <c r="B5" s="14" t="s">
        <v>80</v>
      </c>
      <c r="C5" s="14" t="s">
        <v>81</v>
      </c>
      <c r="D5" s="13" t="s">
        <v>82</v>
      </c>
      <c r="E5" s="15">
        <v>9.876543211E9</v>
      </c>
      <c r="F5" s="13" t="s">
        <v>83</v>
      </c>
      <c r="G5" s="16" t="s">
        <v>8</v>
      </c>
    </row>
    <row r="6" ht="14.25" customHeight="1">
      <c r="A6" s="13">
        <v>3.0</v>
      </c>
      <c r="B6" s="14" t="s">
        <v>84</v>
      </c>
      <c r="C6" s="14" t="s">
        <v>85</v>
      </c>
      <c r="D6" s="13" t="s">
        <v>86</v>
      </c>
      <c r="E6" s="15">
        <v>9.876543212E9</v>
      </c>
      <c r="F6" s="13" t="s">
        <v>87</v>
      </c>
      <c r="G6" s="16" t="s">
        <v>8</v>
      </c>
    </row>
    <row r="7" ht="14.25" customHeight="1">
      <c r="A7" s="13">
        <v>4.0</v>
      </c>
      <c r="B7" s="14" t="s">
        <v>88</v>
      </c>
      <c r="C7" s="14" t="s">
        <v>89</v>
      </c>
      <c r="D7" s="13" t="s">
        <v>90</v>
      </c>
      <c r="E7" s="15">
        <v>9.876543213E9</v>
      </c>
      <c r="F7" s="13" t="s">
        <v>91</v>
      </c>
      <c r="G7" s="16" t="s">
        <v>8</v>
      </c>
    </row>
    <row r="8" ht="14.25" customHeight="1">
      <c r="A8" s="13">
        <v>5.0</v>
      </c>
      <c r="B8" s="14" t="s">
        <v>92</v>
      </c>
      <c r="C8" s="14" t="s">
        <v>93</v>
      </c>
      <c r="D8" s="13" t="s">
        <v>94</v>
      </c>
      <c r="E8" s="15">
        <v>9.876543214E9</v>
      </c>
      <c r="F8" s="13" t="s">
        <v>95</v>
      </c>
      <c r="G8" s="16" t="s">
        <v>8</v>
      </c>
    </row>
    <row r="9" ht="14.25" customHeight="1">
      <c r="G9" s="17"/>
    </row>
    <row r="10" ht="14.25" customHeight="1">
      <c r="A10" s="18" t="s">
        <v>96</v>
      </c>
      <c r="B10" s="19" t="s">
        <v>97</v>
      </c>
    </row>
    <row r="11" ht="14.25" customHeight="1">
      <c r="G11" s="17"/>
    </row>
    <row r="12" ht="14.25" customHeight="1">
      <c r="G12" s="17"/>
    </row>
    <row r="13" ht="14.25" customHeight="1">
      <c r="G13" s="17"/>
    </row>
    <row r="14" ht="14.25" customHeight="1">
      <c r="G14" s="17"/>
    </row>
    <row r="15" ht="14.25" customHeight="1">
      <c r="G15" s="17"/>
    </row>
    <row r="16" ht="14.25" customHeight="1">
      <c r="G16" s="17"/>
    </row>
    <row r="17" ht="14.25" customHeight="1">
      <c r="G17" s="17"/>
    </row>
    <row r="18" ht="14.25" customHeight="1">
      <c r="G18" s="17"/>
    </row>
    <row r="19" ht="14.25" customHeight="1">
      <c r="G19" s="17"/>
    </row>
    <row r="20" ht="14.25" customHeight="1">
      <c r="G20" s="17"/>
    </row>
    <row r="21" ht="14.25" customHeight="1">
      <c r="G21" s="17"/>
    </row>
    <row r="22" ht="14.25" customHeight="1">
      <c r="G22" s="17"/>
    </row>
    <row r="23" ht="14.25" customHeight="1">
      <c r="G23" s="17"/>
    </row>
    <row r="24" ht="14.25" customHeight="1">
      <c r="G24" s="17"/>
    </row>
    <row r="25" ht="14.25" customHeight="1">
      <c r="G25" s="17"/>
    </row>
    <row r="26" ht="14.25" customHeight="1">
      <c r="G26" s="17"/>
    </row>
    <row r="27" ht="14.25" customHeight="1">
      <c r="G27" s="17"/>
    </row>
    <row r="28" ht="14.25" customHeight="1">
      <c r="G28" s="17"/>
    </row>
    <row r="29" ht="14.25" customHeight="1">
      <c r="G29" s="17"/>
    </row>
    <row r="30" ht="14.25" customHeight="1">
      <c r="G30" s="17"/>
    </row>
    <row r="31" ht="14.25" customHeight="1">
      <c r="G31" s="17"/>
    </row>
    <row r="32" ht="14.25" customHeight="1">
      <c r="G32" s="17"/>
    </row>
    <row r="33" ht="14.25" customHeight="1">
      <c r="G33" s="17"/>
    </row>
    <row r="34" ht="14.25" customHeight="1">
      <c r="G34" s="17"/>
    </row>
    <row r="35" ht="14.25" customHeight="1">
      <c r="G35" s="17"/>
    </row>
    <row r="36" ht="14.25" customHeight="1">
      <c r="G36" s="17"/>
    </row>
    <row r="37" ht="14.25" customHeight="1">
      <c r="G37" s="17"/>
    </row>
    <row r="38" ht="14.25" customHeight="1">
      <c r="G38" s="17"/>
    </row>
    <row r="39" ht="14.25" customHeight="1">
      <c r="G39" s="17"/>
    </row>
    <row r="40" ht="14.25" customHeight="1">
      <c r="G40" s="17"/>
    </row>
    <row r="41" ht="14.25" customHeight="1">
      <c r="G41" s="17"/>
    </row>
    <row r="42" ht="14.25" customHeight="1">
      <c r="G42" s="17"/>
    </row>
    <row r="43" ht="14.25" customHeight="1">
      <c r="G43" s="17"/>
    </row>
    <row r="44" ht="14.25" customHeight="1">
      <c r="G44" s="17"/>
    </row>
    <row r="45" ht="14.25" customHeight="1">
      <c r="G45" s="17"/>
    </row>
    <row r="46" ht="14.25" customHeight="1">
      <c r="G46" s="17"/>
    </row>
    <row r="47" ht="14.25" customHeight="1">
      <c r="G47" s="17"/>
    </row>
    <row r="48" ht="14.25" customHeight="1">
      <c r="G48" s="17"/>
    </row>
    <row r="49" ht="14.25" customHeight="1">
      <c r="G49" s="17"/>
    </row>
    <row r="50" ht="14.25" customHeight="1">
      <c r="G50" s="17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B10:G10"/>
  </mergeCells>
  <dataValidations>
    <dataValidation type="list" allowBlank="1" showErrorMessage="1" sqref="G4:G9 G11:G50">
      <formula1>"Active,Inactive"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8.0"/>
    <col customWidth="1" min="2" max="2" width="39.86"/>
    <col customWidth="1" min="3" max="3" width="24.57"/>
    <col customWidth="1" min="4" max="4" width="16.86"/>
    <col customWidth="1" min="5" max="5" width="21.86"/>
    <col customWidth="1" min="6" max="6" width="16.86"/>
    <col customWidth="1" min="7" max="7" width="62.57"/>
    <col customWidth="1" min="8" max="8" width="35.0"/>
    <col customWidth="1" min="9" max="9" width="29.57"/>
    <col customWidth="1" min="10" max="10" width="21.71"/>
    <col customWidth="1" min="11" max="11" width="19.71"/>
    <col customWidth="1" min="12" max="12" width="23.29"/>
    <col customWidth="1" min="13" max="13" width="10.57"/>
    <col customWidth="1" min="14" max="14" width="13.43"/>
    <col customWidth="1" min="15" max="15" width="12.57"/>
    <col customWidth="1" min="16" max="16" width="11.71"/>
    <col customWidth="1" min="17" max="17" width="12.43"/>
    <col customWidth="1" min="18" max="18" width="12.0"/>
    <col customWidth="1" min="19" max="19" width="11.0"/>
    <col customWidth="1" min="20" max="20" width="19.43"/>
    <col customWidth="1" min="21" max="21" width="16.86"/>
    <col customWidth="1" min="22" max="22" width="13.57"/>
    <col customWidth="1" min="23" max="23" width="11.0"/>
    <col customWidth="1" min="24" max="24" width="24.57"/>
    <col customWidth="1" min="25" max="25" width="22.86"/>
    <col customWidth="1" min="26" max="26" width="23.71"/>
    <col customWidth="1" min="27" max="27" width="13.57"/>
    <col customWidth="1" min="28" max="28" width="9.43"/>
    <col customWidth="1" min="29" max="29" width="12.43"/>
    <col customWidth="1" min="30" max="30" width="13.43"/>
    <col customWidth="1" min="31" max="31" width="12.43"/>
    <col customWidth="1" min="32" max="32" width="13.86"/>
    <col customWidth="1" min="33" max="33" width="19.71"/>
    <col customWidth="1" min="34" max="34" width="15.57"/>
    <col customWidth="1" min="35" max="35" width="23.57"/>
    <col customWidth="1" min="36" max="36" width="58.29"/>
    <col customWidth="1" min="37" max="37" width="26.43"/>
    <col customWidth="1" min="38" max="38" width="15.57"/>
    <col customWidth="1" min="39" max="39" width="15.0"/>
    <col customWidth="1" min="40" max="40" width="14.0"/>
    <col customWidth="1" min="41" max="41" width="40.43"/>
    <col customWidth="1" min="42" max="42" width="13.43"/>
    <col customWidth="1" min="43" max="43" width="21.71"/>
    <col customWidth="1" min="44" max="45" width="13.43"/>
    <col customWidth="1" min="46" max="46" width="16.86"/>
    <col customWidth="1" min="47" max="47" width="13.43"/>
    <col customWidth="1" min="48" max="51" width="21.0"/>
  </cols>
  <sheetData>
    <row r="1" ht="36.0" customHeight="1">
      <c r="A1" s="20" t="s">
        <v>1</v>
      </c>
      <c r="B1" s="20" t="s">
        <v>98</v>
      </c>
      <c r="C1" s="20" t="s">
        <v>99</v>
      </c>
      <c r="D1" s="20" t="s">
        <v>100</v>
      </c>
      <c r="E1" s="20" t="s">
        <v>73</v>
      </c>
      <c r="F1" s="21" t="s">
        <v>101</v>
      </c>
      <c r="G1" s="20" t="s">
        <v>102</v>
      </c>
      <c r="H1" s="20" t="s">
        <v>103</v>
      </c>
      <c r="I1" s="20" t="s">
        <v>104</v>
      </c>
      <c r="J1" s="20" t="s">
        <v>105</v>
      </c>
      <c r="K1" s="22" t="s">
        <v>106</v>
      </c>
      <c r="L1" s="22" t="s">
        <v>107</v>
      </c>
      <c r="M1" s="20" t="s">
        <v>108</v>
      </c>
      <c r="N1" s="20" t="s">
        <v>109</v>
      </c>
      <c r="O1" s="20" t="s">
        <v>110</v>
      </c>
      <c r="P1" s="20" t="s">
        <v>111</v>
      </c>
      <c r="Q1" s="20" t="s">
        <v>112</v>
      </c>
      <c r="R1" s="20" t="s">
        <v>113</v>
      </c>
      <c r="S1" s="20" t="s">
        <v>114</v>
      </c>
      <c r="T1" s="22" t="s">
        <v>115</v>
      </c>
      <c r="U1" s="20" t="s">
        <v>116</v>
      </c>
      <c r="V1" s="23" t="s">
        <v>117</v>
      </c>
      <c r="W1" s="23" t="s">
        <v>118</v>
      </c>
      <c r="X1" s="20" t="s">
        <v>71</v>
      </c>
      <c r="Y1" s="20" t="s">
        <v>119</v>
      </c>
      <c r="Z1" s="20" t="s">
        <v>120</v>
      </c>
      <c r="AA1" s="20" t="s">
        <v>121</v>
      </c>
      <c r="AB1" s="20" t="s">
        <v>122</v>
      </c>
      <c r="AC1" s="20" t="s">
        <v>123</v>
      </c>
      <c r="AD1" s="20" t="s">
        <v>124</v>
      </c>
      <c r="AE1" s="20" t="s">
        <v>125</v>
      </c>
      <c r="AF1" s="20" t="s">
        <v>126</v>
      </c>
      <c r="AG1" s="20" t="s">
        <v>127</v>
      </c>
      <c r="AH1" s="20" t="s">
        <v>128</v>
      </c>
      <c r="AI1" s="20" t="s">
        <v>5</v>
      </c>
      <c r="AJ1" s="20" t="s">
        <v>129</v>
      </c>
      <c r="AK1" s="20" t="s">
        <v>130</v>
      </c>
      <c r="AL1" s="20" t="s">
        <v>131</v>
      </c>
      <c r="AM1" s="22" t="s">
        <v>132</v>
      </c>
      <c r="AN1" s="20" t="s">
        <v>133</v>
      </c>
      <c r="AO1" s="20" t="s">
        <v>134</v>
      </c>
      <c r="AP1" s="20" t="s">
        <v>135</v>
      </c>
      <c r="AQ1" s="20" t="s">
        <v>136</v>
      </c>
      <c r="AR1" s="20" t="s">
        <v>137</v>
      </c>
      <c r="AS1" s="20" t="s">
        <v>138</v>
      </c>
      <c r="AT1" s="20" t="s">
        <v>139</v>
      </c>
      <c r="AU1" s="20" t="s">
        <v>140</v>
      </c>
      <c r="AV1" s="20" t="s">
        <v>141</v>
      </c>
      <c r="AW1" s="21" t="s">
        <v>142</v>
      </c>
      <c r="AX1" s="21" t="s">
        <v>143</v>
      </c>
      <c r="AY1" s="24" t="s">
        <v>144</v>
      </c>
    </row>
    <row r="2" ht="24.0" customHeight="1">
      <c r="A2" s="25">
        <v>1.0</v>
      </c>
      <c r="B2" s="26" t="s">
        <v>45</v>
      </c>
      <c r="C2" s="27">
        <v>3732880.0</v>
      </c>
      <c r="D2" s="28" t="s">
        <v>145</v>
      </c>
      <c r="E2" s="29" t="s">
        <v>50</v>
      </c>
      <c r="F2" s="30"/>
      <c r="G2" s="30" t="s">
        <v>146</v>
      </c>
      <c r="H2" s="31" t="s">
        <v>147</v>
      </c>
      <c r="I2" s="30" t="s">
        <v>148</v>
      </c>
      <c r="J2" s="30" t="s">
        <v>149</v>
      </c>
      <c r="K2" s="32">
        <v>46113.0</v>
      </c>
      <c r="L2" s="33">
        <v>46113.0</v>
      </c>
      <c r="M2" s="34">
        <v>34.0</v>
      </c>
      <c r="N2" s="34">
        <v>32.0</v>
      </c>
      <c r="O2" s="35">
        <f t="shared" ref="O2:O54" si="1">IF(AND(M2&lt;&gt;"",N2&lt;&gt;""),M2-N2,"")</f>
        <v>2</v>
      </c>
      <c r="P2" s="34">
        <v>28.0</v>
      </c>
      <c r="Q2" s="35">
        <f t="shared" ref="Q2:Q54" si="2">IF(AND(N2&lt;&gt;"",P2&lt;&gt;""),N2-P2,"")</f>
        <v>4</v>
      </c>
      <c r="R2" s="34">
        <v>32.0</v>
      </c>
      <c r="S2" s="35">
        <f t="shared" ref="S2:S115" si="3">IF(AND(N2&lt;&gt;"",R2&lt;&gt;""),N2-R2,"")</f>
        <v>0</v>
      </c>
      <c r="T2" s="33">
        <v>46113.0</v>
      </c>
      <c r="U2" s="30" t="s">
        <v>150</v>
      </c>
      <c r="V2" s="36">
        <f t="shared" ref="V2:V115" si="4">IFERROR(R2/N2,"")</f>
        <v>1</v>
      </c>
      <c r="W2" s="36">
        <f t="shared" ref="W2:W91" si="5">IFERROR(S2/N2,"")</f>
        <v>0</v>
      </c>
      <c r="X2" s="30" t="s">
        <v>151</v>
      </c>
      <c r="Y2" s="30" t="s">
        <v>152</v>
      </c>
      <c r="Z2" s="30" t="s">
        <v>153</v>
      </c>
      <c r="AA2" s="30" t="s">
        <v>154</v>
      </c>
      <c r="AB2" s="37">
        <f>IFERROR(VLOOKUP(B2,'Scheme Master'!$B$4:$C$79,2,FALSE),"")</f>
        <v>360</v>
      </c>
      <c r="AC2" s="38">
        <f t="shared" ref="AC2:AC96" si="6">IF(AND(AB2&lt;&gt;"",N2&lt;&gt;""),AB2*N2,"")</f>
        <v>11520</v>
      </c>
      <c r="AD2" s="39">
        <v>2000.0</v>
      </c>
      <c r="AE2" s="39">
        <v>1000.0</v>
      </c>
      <c r="AF2" s="40">
        <f t="shared" ref="AF2:AF115" si="7">IF(OR(AD2&lt;&gt;"",AE2&lt;&gt;""),AD2+AE2,"")</f>
        <v>3000</v>
      </c>
      <c r="AG2" s="41">
        <f t="shared" ref="AG2:AG115" si="8">IF(AND(AC2&lt;&gt;"",AF2&lt;&gt;""),AC2-AF2,"")</f>
        <v>8520</v>
      </c>
      <c r="AH2" s="42">
        <f t="shared" ref="AH2:AH115" si="9">IF(AND(AC2&lt;&gt;"",AC2&gt;0,AF2&lt;&gt;""),AF2/AC2,"")</f>
        <v>0.2604166667</v>
      </c>
      <c r="AI2" s="43" t="str">
        <f t="shared" ref="AI2:AI115" si="10">IF(AH2="","",IF(AF2&gt;AC2,"🔴 Critical - Over Budget",IF(AH2&gt;0.4,"⚠️ Approval Required","✅ Auto-Approved")))</f>
        <v>✅ Auto-Approved</v>
      </c>
      <c r="AJ2" s="44" t="str">
        <f>IF(AI2="","",IF(AF2&gt;AC2,"URGENT: Expenses exceed total income. Immediate review needed.",IF(AH2&gt;0.4,"Expenses exceed 40% of income. Management approval required.","Within budget. No approval needed.")))</f>
        <v>Within budget. No approval needed.</v>
      </c>
      <c r="AK2" s="28" t="s">
        <v>155</v>
      </c>
      <c r="AL2" s="45" t="s">
        <v>156</v>
      </c>
      <c r="AM2" s="46">
        <v>46108.0</v>
      </c>
      <c r="AN2" s="45" t="s">
        <v>157</v>
      </c>
      <c r="AO2" s="43" t="str">
        <f t="shared" ref="AO2:AO55" si="11">IF(AI2="","",IF(AI2="✅ Auto-Approved","✅ Approved (Auto - Within Budget)",IF(AN2="","⏳ Awaiting Approval",IF(AN2="Approved","✅ Approved by "&amp;AL2&amp;" on "&amp;TEXT(AM2,"mm/dd/yyyy"),IF(AN2="Rejected","❌ Rejected by "&amp;AL2&amp;" - Review Expenses",IF(AN2="Pending Review","🔍 Under Review by "&amp;AL2,IF(AN2="Escalated","⬆️ Escalated - Senior Management Review","")))))))</f>
        <v>✅ Approved (Auto - Within Budget)</v>
      </c>
      <c r="AP2" s="47" t="s">
        <v>158</v>
      </c>
      <c r="AQ2" s="48"/>
      <c r="AR2" s="47" t="s">
        <v>159</v>
      </c>
      <c r="AS2" s="49"/>
      <c r="AT2" s="50"/>
      <c r="AU2" s="48"/>
      <c r="AV2" s="48"/>
      <c r="AW2" s="48"/>
      <c r="AX2" s="51" t="s">
        <v>160</v>
      </c>
      <c r="AY2" s="48"/>
    </row>
    <row r="3" ht="24.0" customHeight="1">
      <c r="A3" s="52">
        <v>2.0</v>
      </c>
      <c r="B3" s="26" t="s">
        <v>16</v>
      </c>
      <c r="C3" s="27">
        <v>3732880.0</v>
      </c>
      <c r="D3" s="28" t="s">
        <v>161</v>
      </c>
      <c r="E3" s="30" t="s">
        <v>162</v>
      </c>
      <c r="F3" s="30"/>
      <c r="G3" s="30" t="s">
        <v>163</v>
      </c>
      <c r="H3" s="31" t="s">
        <v>164</v>
      </c>
      <c r="I3" s="30" t="s">
        <v>165</v>
      </c>
      <c r="J3" s="30" t="s">
        <v>166</v>
      </c>
      <c r="K3" s="32">
        <v>46114.0</v>
      </c>
      <c r="L3" s="33">
        <v>46114.0</v>
      </c>
      <c r="M3" s="34">
        <v>30.0</v>
      </c>
      <c r="N3" s="34">
        <v>30.0</v>
      </c>
      <c r="O3" s="35">
        <f t="shared" si="1"/>
        <v>0</v>
      </c>
      <c r="P3" s="34">
        <v>0.0</v>
      </c>
      <c r="Q3" s="35">
        <f t="shared" si="2"/>
        <v>30</v>
      </c>
      <c r="R3" s="34">
        <v>30.0</v>
      </c>
      <c r="S3" s="35">
        <f t="shared" si="3"/>
        <v>0</v>
      </c>
      <c r="T3" s="33">
        <v>46115.0</v>
      </c>
      <c r="U3" s="30" t="s">
        <v>150</v>
      </c>
      <c r="V3" s="36">
        <f t="shared" si="4"/>
        <v>1</v>
      </c>
      <c r="W3" s="36">
        <f t="shared" si="5"/>
        <v>0</v>
      </c>
      <c r="X3" s="30" t="s">
        <v>167</v>
      </c>
      <c r="Y3" s="30" t="s">
        <v>168</v>
      </c>
      <c r="Z3" s="30" t="s">
        <v>169</v>
      </c>
      <c r="AA3" s="30" t="s">
        <v>170</v>
      </c>
      <c r="AB3" s="37">
        <f>IFERROR(VLOOKUP(B3,'Scheme Master'!$B$4:$C$79,2,FALSE),"")</f>
        <v>400</v>
      </c>
      <c r="AC3" s="38">
        <f t="shared" si="6"/>
        <v>12000</v>
      </c>
      <c r="AD3" s="49"/>
      <c r="AE3" s="39"/>
      <c r="AF3" s="40" t="str">
        <f t="shared" si="7"/>
        <v/>
      </c>
      <c r="AG3" s="41" t="str">
        <f t="shared" si="8"/>
        <v/>
      </c>
      <c r="AH3" s="42" t="str">
        <f t="shared" si="9"/>
        <v/>
      </c>
      <c r="AI3" s="43" t="str">
        <f t="shared" si="10"/>
        <v/>
      </c>
      <c r="AJ3" s="44"/>
      <c r="AK3" s="28" t="s">
        <v>155</v>
      </c>
      <c r="AL3" s="45" t="s">
        <v>156</v>
      </c>
      <c r="AM3" s="53"/>
      <c r="AN3" s="54"/>
      <c r="AO3" s="43" t="str">
        <f t="shared" si="11"/>
        <v/>
      </c>
      <c r="AP3" s="48"/>
      <c r="AQ3" s="48"/>
      <c r="AR3" s="47" t="s">
        <v>159</v>
      </c>
      <c r="AS3" s="49"/>
      <c r="AT3" s="50"/>
      <c r="AU3" s="48"/>
      <c r="AV3" s="48"/>
      <c r="AW3" s="48"/>
      <c r="AX3" s="48"/>
      <c r="AY3" s="48"/>
    </row>
    <row r="4" ht="24.0" customHeight="1">
      <c r="A4" s="25">
        <v>3.0</v>
      </c>
      <c r="B4" s="55" t="s">
        <v>6</v>
      </c>
      <c r="C4" s="27">
        <v>3735303.0</v>
      </c>
      <c r="D4" s="56" t="s">
        <v>145</v>
      </c>
      <c r="E4" s="29" t="s">
        <v>50</v>
      </c>
      <c r="F4" s="30"/>
      <c r="G4" s="30" t="s">
        <v>146</v>
      </c>
      <c r="H4" s="31" t="s">
        <v>171</v>
      </c>
      <c r="I4" s="57" t="s">
        <v>172</v>
      </c>
      <c r="J4" s="57" t="s">
        <v>173</v>
      </c>
      <c r="K4" s="58">
        <v>46114.0</v>
      </c>
      <c r="L4" s="59">
        <v>46114.0</v>
      </c>
      <c r="M4" s="60">
        <v>23.0</v>
      </c>
      <c r="N4" s="60">
        <v>19.0</v>
      </c>
      <c r="O4" s="35">
        <f t="shared" si="1"/>
        <v>4</v>
      </c>
      <c r="P4" s="60">
        <v>14.0</v>
      </c>
      <c r="Q4" s="35">
        <f t="shared" si="2"/>
        <v>5</v>
      </c>
      <c r="R4" s="60">
        <v>19.0</v>
      </c>
      <c r="S4" s="35">
        <f t="shared" si="3"/>
        <v>0</v>
      </c>
      <c r="T4" s="59">
        <v>46114.0</v>
      </c>
      <c r="U4" s="57" t="s">
        <v>150</v>
      </c>
      <c r="V4" s="36">
        <f t="shared" si="4"/>
        <v>1</v>
      </c>
      <c r="W4" s="36">
        <f t="shared" si="5"/>
        <v>0</v>
      </c>
      <c r="X4" s="57" t="s">
        <v>174</v>
      </c>
      <c r="Y4" s="57" t="s">
        <v>175</v>
      </c>
      <c r="Z4" s="57" t="s">
        <v>176</v>
      </c>
      <c r="AA4" s="57" t="s">
        <v>177</v>
      </c>
      <c r="AB4" s="37">
        <f>IFERROR(VLOOKUP(B4,'Scheme Master'!$B$4:$C$79,2,FALSE),"")</f>
        <v>480</v>
      </c>
      <c r="AC4" s="38">
        <f t="shared" si="6"/>
        <v>9120</v>
      </c>
      <c r="AD4" s="61">
        <v>2000.0</v>
      </c>
      <c r="AE4" s="62"/>
      <c r="AF4" s="40">
        <f t="shared" si="7"/>
        <v>2000</v>
      </c>
      <c r="AG4" s="41">
        <f t="shared" si="8"/>
        <v>7120</v>
      </c>
      <c r="AH4" s="42">
        <f t="shared" si="9"/>
        <v>0.2192982456</v>
      </c>
      <c r="AI4" s="43" t="str">
        <f t="shared" si="10"/>
        <v>✅ Auto-Approved</v>
      </c>
      <c r="AJ4" s="44" t="str">
        <f>IF(AI4="","",IF(AF4&gt;AC4,"URGENT: Expenses exceed total income. Immediate review needed.",IF(AH4&gt;0.4,"Expenses exceed 40% of income. Management approval required.","Within budget. No approval needed.")))</f>
        <v>Within budget. No approval needed.</v>
      </c>
      <c r="AK4" s="56" t="s">
        <v>155</v>
      </c>
      <c r="AL4" s="63" t="s">
        <v>156</v>
      </c>
      <c r="AM4" s="64"/>
      <c r="AN4" s="65"/>
      <c r="AO4" s="43" t="str">
        <f t="shared" si="11"/>
        <v>✅ Approved (Auto - Within Budget)</v>
      </c>
      <c r="AP4" s="66" t="s">
        <v>158</v>
      </c>
      <c r="AQ4" s="67"/>
      <c r="AR4" s="66" t="s">
        <v>159</v>
      </c>
      <c r="AS4" s="62"/>
      <c r="AT4" s="68"/>
      <c r="AU4" s="67"/>
      <c r="AV4" s="67"/>
      <c r="AW4" s="67"/>
      <c r="AX4" s="67"/>
      <c r="AY4" s="67"/>
    </row>
    <row r="5" ht="24.0" customHeight="1">
      <c r="A5" s="52">
        <v>4.0</v>
      </c>
      <c r="B5" s="26" t="s">
        <v>45</v>
      </c>
      <c r="C5" s="27">
        <v>3733981.0</v>
      </c>
      <c r="D5" s="28" t="s">
        <v>145</v>
      </c>
      <c r="E5" s="69" t="s">
        <v>178</v>
      </c>
      <c r="F5" s="30"/>
      <c r="G5" s="30" t="s">
        <v>179</v>
      </c>
      <c r="H5" s="70" t="s">
        <v>180</v>
      </c>
      <c r="I5" s="30" t="s">
        <v>181</v>
      </c>
      <c r="J5" s="30" t="s">
        <v>182</v>
      </c>
      <c r="K5" s="32">
        <v>46114.0</v>
      </c>
      <c r="L5" s="33">
        <v>46114.0</v>
      </c>
      <c r="M5" s="34">
        <v>24.0</v>
      </c>
      <c r="N5" s="34">
        <v>20.0</v>
      </c>
      <c r="O5" s="35">
        <f t="shared" si="1"/>
        <v>4</v>
      </c>
      <c r="P5" s="34">
        <v>20.0</v>
      </c>
      <c r="Q5" s="35">
        <f t="shared" si="2"/>
        <v>0</v>
      </c>
      <c r="R5" s="34">
        <v>20.0</v>
      </c>
      <c r="S5" s="35">
        <f t="shared" si="3"/>
        <v>0</v>
      </c>
      <c r="T5" s="59">
        <v>46114.0</v>
      </c>
      <c r="U5" s="30" t="s">
        <v>150</v>
      </c>
      <c r="V5" s="36">
        <f t="shared" si="4"/>
        <v>1</v>
      </c>
      <c r="W5" s="36">
        <f t="shared" si="5"/>
        <v>0</v>
      </c>
      <c r="X5" s="30" t="s">
        <v>183</v>
      </c>
      <c r="Y5" s="30" t="s">
        <v>184</v>
      </c>
      <c r="Z5" s="30" t="s">
        <v>185</v>
      </c>
      <c r="AA5" s="30" t="s">
        <v>186</v>
      </c>
      <c r="AB5" s="37">
        <f>IFERROR(VLOOKUP(B5,'Scheme Master'!$B$4:$C$79,2,FALSE),"")</f>
        <v>360</v>
      </c>
      <c r="AC5" s="38">
        <f t="shared" si="6"/>
        <v>7200</v>
      </c>
      <c r="AD5" s="39">
        <v>2000.0</v>
      </c>
      <c r="AE5" s="49"/>
      <c r="AF5" s="40">
        <f t="shared" si="7"/>
        <v>2000</v>
      </c>
      <c r="AG5" s="41">
        <f t="shared" si="8"/>
        <v>5200</v>
      </c>
      <c r="AH5" s="42">
        <f t="shared" si="9"/>
        <v>0.2777777778</v>
      </c>
      <c r="AI5" s="43" t="str">
        <f t="shared" si="10"/>
        <v>✅ Auto-Approved</v>
      </c>
      <c r="AJ5" s="44"/>
      <c r="AK5" s="28" t="s">
        <v>187</v>
      </c>
      <c r="AL5" s="45" t="s">
        <v>156</v>
      </c>
      <c r="AM5" s="53"/>
      <c r="AN5" s="54"/>
      <c r="AO5" s="43" t="str">
        <f t="shared" si="11"/>
        <v>✅ Approved (Auto - Within Budget)</v>
      </c>
      <c r="AP5" s="47" t="s">
        <v>158</v>
      </c>
      <c r="AQ5" s="48"/>
      <c r="AR5" s="47" t="s">
        <v>159</v>
      </c>
      <c r="AS5" s="49"/>
      <c r="AT5" s="50"/>
      <c r="AU5" s="48"/>
      <c r="AV5" s="48"/>
      <c r="AW5" s="48"/>
      <c r="AX5" s="48"/>
      <c r="AY5" s="48"/>
    </row>
    <row r="6" ht="24.0" customHeight="1">
      <c r="A6" s="25">
        <v>5.0</v>
      </c>
      <c r="B6" s="26" t="s">
        <v>45</v>
      </c>
      <c r="C6" s="27">
        <v>3739308.0</v>
      </c>
      <c r="D6" s="28" t="s">
        <v>188</v>
      </c>
      <c r="E6" s="30" t="s">
        <v>189</v>
      </c>
      <c r="F6" s="30"/>
      <c r="G6" s="30" t="s">
        <v>190</v>
      </c>
      <c r="H6" s="70" t="s">
        <v>191</v>
      </c>
      <c r="I6" s="30" t="s">
        <v>192</v>
      </c>
      <c r="J6" s="30" t="s">
        <v>193</v>
      </c>
      <c r="K6" s="32">
        <v>46114.0</v>
      </c>
      <c r="L6" s="33">
        <v>46114.0</v>
      </c>
      <c r="M6" s="34">
        <v>23.0</v>
      </c>
      <c r="N6" s="34">
        <v>15.0</v>
      </c>
      <c r="O6" s="35">
        <f t="shared" si="1"/>
        <v>8</v>
      </c>
      <c r="P6" s="34">
        <v>9.0</v>
      </c>
      <c r="Q6" s="35">
        <f t="shared" si="2"/>
        <v>6</v>
      </c>
      <c r="R6" s="34">
        <v>15.0</v>
      </c>
      <c r="S6" s="35">
        <f t="shared" si="3"/>
        <v>0</v>
      </c>
      <c r="T6" s="59">
        <v>46114.0</v>
      </c>
      <c r="U6" s="30" t="s">
        <v>150</v>
      </c>
      <c r="V6" s="36">
        <f t="shared" si="4"/>
        <v>1</v>
      </c>
      <c r="W6" s="36">
        <f t="shared" si="5"/>
        <v>0</v>
      </c>
      <c r="X6" s="30" t="s">
        <v>194</v>
      </c>
      <c r="Y6" s="30" t="s">
        <v>195</v>
      </c>
      <c r="Z6" s="30" t="s">
        <v>194</v>
      </c>
      <c r="AA6" s="30" t="s">
        <v>196</v>
      </c>
      <c r="AB6" s="37">
        <f>IFERROR(VLOOKUP(B6,'Scheme Master'!$B$4:$C$79,2,FALSE),"")</f>
        <v>360</v>
      </c>
      <c r="AC6" s="38">
        <f t="shared" si="6"/>
        <v>5400</v>
      </c>
      <c r="AD6" s="39">
        <v>2000.0</v>
      </c>
      <c r="AE6" s="49"/>
      <c r="AF6" s="40">
        <f t="shared" si="7"/>
        <v>2000</v>
      </c>
      <c r="AG6" s="41">
        <f t="shared" si="8"/>
        <v>3400</v>
      </c>
      <c r="AH6" s="42">
        <f t="shared" si="9"/>
        <v>0.3703703704</v>
      </c>
      <c r="AI6" s="43" t="str">
        <f t="shared" si="10"/>
        <v>✅ Auto-Approved</v>
      </c>
      <c r="AJ6" s="44" t="str">
        <f t="shared" ref="AJ6:AJ7" si="12">IF(AI6="","",IF(AF6&gt;AC6,"URGENT: Expenses exceed total income. Immediate review needed.",IF(AH6&gt;0.4,"Expenses exceed 40% of income. Management approval required.","Within budget. No approval needed.")))</f>
        <v>Within budget. No approval needed.</v>
      </c>
      <c r="AK6" s="71"/>
      <c r="AL6" s="45"/>
      <c r="AM6" s="53"/>
      <c r="AN6" s="54"/>
      <c r="AO6" s="43" t="str">
        <f t="shared" si="11"/>
        <v>✅ Approved (Auto - Within Budget)</v>
      </c>
      <c r="AP6" s="47" t="s">
        <v>158</v>
      </c>
      <c r="AQ6" s="48"/>
      <c r="AR6" s="47" t="s">
        <v>159</v>
      </c>
      <c r="AS6" s="49"/>
      <c r="AT6" s="50"/>
      <c r="AU6" s="48"/>
      <c r="AV6" s="48"/>
      <c r="AW6" s="48"/>
      <c r="AX6" s="48"/>
      <c r="AY6" s="48"/>
    </row>
    <row r="7" ht="24.0" customHeight="1">
      <c r="A7" s="52">
        <v>6.0</v>
      </c>
      <c r="B7" s="26" t="s">
        <v>45</v>
      </c>
      <c r="C7" s="27">
        <v>3756354.0</v>
      </c>
      <c r="D7" s="28" t="s">
        <v>188</v>
      </c>
      <c r="E7" s="30" t="s">
        <v>189</v>
      </c>
      <c r="F7" s="30"/>
      <c r="G7" s="30" t="s">
        <v>197</v>
      </c>
      <c r="H7" s="70" t="s">
        <v>198</v>
      </c>
      <c r="I7" s="30" t="s">
        <v>199</v>
      </c>
      <c r="J7" s="30" t="s">
        <v>149</v>
      </c>
      <c r="K7" s="32">
        <v>46114.0</v>
      </c>
      <c r="L7" s="33">
        <v>46114.0</v>
      </c>
      <c r="M7" s="34">
        <v>8.0</v>
      </c>
      <c r="N7" s="34">
        <v>8.0</v>
      </c>
      <c r="O7" s="35">
        <f t="shared" si="1"/>
        <v>0</v>
      </c>
      <c r="P7" s="34">
        <v>0.0</v>
      </c>
      <c r="Q7" s="35">
        <f t="shared" si="2"/>
        <v>8</v>
      </c>
      <c r="R7" s="34">
        <v>8.0</v>
      </c>
      <c r="S7" s="35">
        <f t="shared" si="3"/>
        <v>0</v>
      </c>
      <c r="T7" s="59">
        <v>46114.0</v>
      </c>
      <c r="U7" s="30" t="s">
        <v>150</v>
      </c>
      <c r="V7" s="36">
        <f t="shared" si="4"/>
        <v>1</v>
      </c>
      <c r="W7" s="36">
        <f t="shared" si="5"/>
        <v>0</v>
      </c>
      <c r="X7" s="30" t="s">
        <v>200</v>
      </c>
      <c r="Y7" s="30" t="s">
        <v>201</v>
      </c>
      <c r="Z7" s="30" t="s">
        <v>200</v>
      </c>
      <c r="AA7" s="30" t="s">
        <v>202</v>
      </c>
      <c r="AB7" s="37">
        <f>IFERROR(VLOOKUP(B7,'Scheme Master'!$B$4:$C$79,2,FALSE),"")</f>
        <v>360</v>
      </c>
      <c r="AC7" s="38">
        <f t="shared" si="6"/>
        <v>2880</v>
      </c>
      <c r="AD7" s="39">
        <v>800.0</v>
      </c>
      <c r="AE7" s="49"/>
      <c r="AF7" s="40">
        <f t="shared" si="7"/>
        <v>800</v>
      </c>
      <c r="AG7" s="41">
        <f t="shared" si="8"/>
        <v>2080</v>
      </c>
      <c r="AH7" s="42">
        <f t="shared" si="9"/>
        <v>0.2777777778</v>
      </c>
      <c r="AI7" s="43" t="str">
        <f t="shared" si="10"/>
        <v>✅ Auto-Approved</v>
      </c>
      <c r="AJ7" s="44" t="str">
        <f t="shared" si="12"/>
        <v>Within budget. No approval needed.</v>
      </c>
      <c r="AK7" s="71"/>
      <c r="AL7" s="45"/>
      <c r="AM7" s="53"/>
      <c r="AN7" s="54"/>
      <c r="AO7" s="43" t="str">
        <f t="shared" si="11"/>
        <v>✅ Approved (Auto - Within Budget)</v>
      </c>
      <c r="AP7" s="47" t="s">
        <v>158</v>
      </c>
      <c r="AQ7" s="48"/>
      <c r="AR7" s="47" t="s">
        <v>159</v>
      </c>
      <c r="AS7" s="49"/>
      <c r="AT7" s="50"/>
      <c r="AU7" s="48"/>
      <c r="AV7" s="48"/>
      <c r="AW7" s="48"/>
      <c r="AX7" s="48"/>
      <c r="AY7" s="48"/>
    </row>
    <row r="8" ht="24.0" customHeight="1">
      <c r="A8" s="72">
        <v>7.0</v>
      </c>
      <c r="B8" s="73" t="s">
        <v>45</v>
      </c>
      <c r="C8" s="74">
        <v>3739384.0</v>
      </c>
      <c r="D8" s="75" t="s">
        <v>188</v>
      </c>
      <c r="E8" s="76" t="s">
        <v>178</v>
      </c>
      <c r="F8" s="76"/>
      <c r="G8" s="76" t="s">
        <v>179</v>
      </c>
      <c r="H8" s="77" t="s">
        <v>203</v>
      </c>
      <c r="I8" s="76" t="s">
        <v>204</v>
      </c>
      <c r="J8" s="76" t="s">
        <v>182</v>
      </c>
      <c r="K8" s="78" t="s">
        <v>205</v>
      </c>
      <c r="L8" s="76" t="s">
        <v>206</v>
      </c>
      <c r="M8" s="79">
        <v>41.0</v>
      </c>
      <c r="N8" s="80"/>
      <c r="O8" s="81" t="str">
        <f t="shared" si="1"/>
        <v/>
      </c>
      <c r="P8" s="80"/>
      <c r="Q8" s="81" t="str">
        <f t="shared" si="2"/>
        <v/>
      </c>
      <c r="R8" s="80"/>
      <c r="S8" s="81" t="str">
        <f t="shared" si="3"/>
        <v/>
      </c>
      <c r="T8" s="82"/>
      <c r="U8" s="76"/>
      <c r="V8" s="83" t="str">
        <f t="shared" si="4"/>
        <v/>
      </c>
      <c r="W8" s="83" t="str">
        <f t="shared" si="5"/>
        <v/>
      </c>
      <c r="X8" s="84"/>
      <c r="Y8" s="84"/>
      <c r="Z8" s="84"/>
      <c r="AA8" s="84"/>
      <c r="AB8" s="84">
        <f>IFERROR(VLOOKUP(B8,'Scheme Master'!$B$4:$C$79,2,FALSE),"")</f>
        <v>360</v>
      </c>
      <c r="AC8" s="85" t="str">
        <f t="shared" si="6"/>
        <v/>
      </c>
      <c r="AD8" s="86"/>
      <c r="AE8" s="86"/>
      <c r="AF8" s="87" t="str">
        <f t="shared" si="7"/>
        <v/>
      </c>
      <c r="AG8" s="88" t="str">
        <f t="shared" si="8"/>
        <v/>
      </c>
      <c r="AH8" s="89" t="str">
        <f t="shared" si="9"/>
        <v/>
      </c>
      <c r="AI8" s="90" t="str">
        <f t="shared" si="10"/>
        <v/>
      </c>
      <c r="AJ8" s="91"/>
      <c r="AK8" s="92"/>
      <c r="AL8" s="74"/>
      <c r="AM8" s="93"/>
      <c r="AN8" s="94"/>
      <c r="AO8" s="90" t="str">
        <f t="shared" si="11"/>
        <v/>
      </c>
      <c r="AP8" s="95"/>
      <c r="AQ8" s="95"/>
      <c r="AR8" s="95"/>
      <c r="AS8" s="86"/>
      <c r="AT8" s="96"/>
      <c r="AU8" s="95"/>
      <c r="AV8" s="95"/>
      <c r="AW8" s="95"/>
      <c r="AX8" s="95"/>
      <c r="AY8" s="95"/>
    </row>
    <row r="9" ht="24.0" customHeight="1">
      <c r="A9" s="52">
        <v>8.0</v>
      </c>
      <c r="B9" s="26" t="s">
        <v>9</v>
      </c>
      <c r="C9" s="27">
        <v>3466403.0</v>
      </c>
      <c r="D9" s="28" t="s">
        <v>207</v>
      </c>
      <c r="E9" s="30" t="s">
        <v>178</v>
      </c>
      <c r="F9" s="30"/>
      <c r="G9" s="30" t="s">
        <v>208</v>
      </c>
      <c r="H9" s="70" t="s">
        <v>209</v>
      </c>
      <c r="I9" s="30" t="s">
        <v>210</v>
      </c>
      <c r="J9" s="30" t="s">
        <v>211</v>
      </c>
      <c r="K9" s="32">
        <v>46115.0</v>
      </c>
      <c r="L9" s="33">
        <v>46116.0</v>
      </c>
      <c r="M9" s="34">
        <v>35.0</v>
      </c>
      <c r="N9" s="34">
        <v>27.0</v>
      </c>
      <c r="O9" s="35">
        <f t="shared" si="1"/>
        <v>8</v>
      </c>
      <c r="P9" s="34">
        <v>13.0</v>
      </c>
      <c r="Q9" s="35">
        <f t="shared" si="2"/>
        <v>14</v>
      </c>
      <c r="R9" s="34">
        <v>26.0</v>
      </c>
      <c r="S9" s="35">
        <f t="shared" si="3"/>
        <v>1</v>
      </c>
      <c r="T9" s="33">
        <v>46118.0</v>
      </c>
      <c r="U9" s="30" t="s">
        <v>150</v>
      </c>
      <c r="V9" s="36">
        <f t="shared" si="4"/>
        <v>0.962962963</v>
      </c>
      <c r="W9" s="36">
        <f t="shared" si="5"/>
        <v>0.03703703704</v>
      </c>
      <c r="X9" s="30" t="s">
        <v>212</v>
      </c>
      <c r="Y9" s="30" t="s">
        <v>213</v>
      </c>
      <c r="Z9" s="30" t="s">
        <v>214</v>
      </c>
      <c r="AA9" s="30" t="s">
        <v>214</v>
      </c>
      <c r="AB9" s="37">
        <f>IFERROR(VLOOKUP(B9,'Scheme Master'!$B$4:$C$79,2,FALSE),"")</f>
        <v>720</v>
      </c>
      <c r="AC9" s="38">
        <f t="shared" si="6"/>
        <v>19440</v>
      </c>
      <c r="AD9" s="49"/>
      <c r="AE9" s="49"/>
      <c r="AF9" s="40" t="str">
        <f t="shared" si="7"/>
        <v/>
      </c>
      <c r="AG9" s="41" t="str">
        <f t="shared" si="8"/>
        <v/>
      </c>
      <c r="AH9" s="42" t="str">
        <f t="shared" si="9"/>
        <v/>
      </c>
      <c r="AI9" s="43" t="str">
        <f t="shared" si="10"/>
        <v/>
      </c>
      <c r="AJ9" s="44" t="str">
        <f>IF(AI9="","",IF(AF9&gt;AC9,"URGENT: Expenses exceed total income. Immediate review needed.",IF(AH9&gt;0.4,"Expenses exceed 40% of income. Management approval required.","Within budget. No approval needed.")))</f>
        <v/>
      </c>
      <c r="AK9" s="71"/>
      <c r="AL9" s="45"/>
      <c r="AM9" s="53"/>
      <c r="AN9" s="54"/>
      <c r="AO9" s="43" t="str">
        <f t="shared" si="11"/>
        <v/>
      </c>
      <c r="AP9" s="48"/>
      <c r="AQ9" s="48"/>
      <c r="AR9" s="47" t="s">
        <v>159</v>
      </c>
      <c r="AS9" s="49"/>
      <c r="AT9" s="50"/>
      <c r="AU9" s="48"/>
      <c r="AV9" s="48"/>
      <c r="AW9" s="48"/>
      <c r="AX9" s="48"/>
      <c r="AY9" s="48"/>
    </row>
    <row r="10" ht="24.0" customHeight="1">
      <c r="A10" s="25">
        <v>9.0</v>
      </c>
      <c r="B10" s="26" t="s">
        <v>45</v>
      </c>
      <c r="C10" s="27">
        <v>3734797.0</v>
      </c>
      <c r="D10" s="28" t="s">
        <v>145</v>
      </c>
      <c r="E10" s="30" t="s">
        <v>178</v>
      </c>
      <c r="F10" s="30"/>
      <c r="G10" s="30" t="s">
        <v>179</v>
      </c>
      <c r="H10" s="70" t="s">
        <v>215</v>
      </c>
      <c r="I10" s="30" t="s">
        <v>216</v>
      </c>
      <c r="J10" s="30" t="s">
        <v>166</v>
      </c>
      <c r="K10" s="32">
        <v>46115.0</v>
      </c>
      <c r="L10" s="33">
        <v>46115.0</v>
      </c>
      <c r="M10" s="34">
        <v>6.0</v>
      </c>
      <c r="N10" s="34">
        <v>5.0</v>
      </c>
      <c r="O10" s="35">
        <f t="shared" si="1"/>
        <v>1</v>
      </c>
      <c r="P10" s="34">
        <v>5.0</v>
      </c>
      <c r="Q10" s="35">
        <f t="shared" si="2"/>
        <v>0</v>
      </c>
      <c r="R10" s="34">
        <v>5.0</v>
      </c>
      <c r="S10" s="35">
        <f t="shared" si="3"/>
        <v>0</v>
      </c>
      <c r="T10" s="33">
        <v>46115.0</v>
      </c>
      <c r="U10" s="30" t="s">
        <v>150</v>
      </c>
      <c r="V10" s="36">
        <f t="shared" si="4"/>
        <v>1</v>
      </c>
      <c r="W10" s="36">
        <f t="shared" si="5"/>
        <v>0</v>
      </c>
      <c r="X10" s="30" t="s">
        <v>217</v>
      </c>
      <c r="Y10" s="30" t="s">
        <v>218</v>
      </c>
      <c r="Z10" s="30" t="s">
        <v>219</v>
      </c>
      <c r="AA10" s="30" t="s">
        <v>220</v>
      </c>
      <c r="AB10" s="37">
        <f>IFERROR(VLOOKUP(B10,'Scheme Master'!$B$4:$C$79,2,FALSE),"")</f>
        <v>360</v>
      </c>
      <c r="AC10" s="38">
        <f t="shared" si="6"/>
        <v>1800</v>
      </c>
      <c r="AD10" s="39"/>
      <c r="AE10" s="49"/>
      <c r="AF10" s="40" t="str">
        <f t="shared" si="7"/>
        <v/>
      </c>
      <c r="AG10" s="41" t="str">
        <f t="shared" si="8"/>
        <v/>
      </c>
      <c r="AH10" s="42" t="str">
        <f t="shared" si="9"/>
        <v/>
      </c>
      <c r="AI10" s="43" t="str">
        <f t="shared" si="10"/>
        <v/>
      </c>
      <c r="AJ10" s="44"/>
      <c r="AK10" s="71"/>
      <c r="AL10" s="45"/>
      <c r="AM10" s="53"/>
      <c r="AN10" s="54"/>
      <c r="AO10" s="43" t="str">
        <f t="shared" si="11"/>
        <v/>
      </c>
      <c r="AP10" s="48"/>
      <c r="AQ10" s="48"/>
      <c r="AR10" s="47" t="s">
        <v>159</v>
      </c>
      <c r="AS10" s="49"/>
      <c r="AT10" s="50"/>
      <c r="AU10" s="48"/>
      <c r="AV10" s="48"/>
      <c r="AW10" s="48"/>
      <c r="AX10" s="48"/>
      <c r="AY10" s="48"/>
    </row>
    <row r="11" ht="24.0" customHeight="1">
      <c r="A11" s="52">
        <v>10.0</v>
      </c>
      <c r="B11" s="26" t="s">
        <v>6</v>
      </c>
      <c r="C11" s="27">
        <v>3736126.0</v>
      </c>
      <c r="D11" s="28" t="s">
        <v>161</v>
      </c>
      <c r="E11" s="30" t="s">
        <v>178</v>
      </c>
      <c r="F11" s="30"/>
      <c r="G11" s="30" t="s">
        <v>221</v>
      </c>
      <c r="H11" s="70" t="s">
        <v>222</v>
      </c>
      <c r="I11" s="30" t="s">
        <v>223</v>
      </c>
      <c r="J11" s="30" t="s">
        <v>224</v>
      </c>
      <c r="K11" s="32">
        <v>46115.0</v>
      </c>
      <c r="L11" s="33">
        <v>46115.0</v>
      </c>
      <c r="M11" s="34">
        <v>28.0</v>
      </c>
      <c r="N11" s="34">
        <v>27.0</v>
      </c>
      <c r="O11" s="35">
        <f t="shared" si="1"/>
        <v>1</v>
      </c>
      <c r="P11" s="34">
        <v>27.0</v>
      </c>
      <c r="Q11" s="35">
        <f t="shared" si="2"/>
        <v>0</v>
      </c>
      <c r="R11" s="34">
        <v>27.0</v>
      </c>
      <c r="S11" s="35">
        <f t="shared" si="3"/>
        <v>0</v>
      </c>
      <c r="T11" s="33">
        <v>46116.0</v>
      </c>
      <c r="U11" s="30" t="s">
        <v>150</v>
      </c>
      <c r="V11" s="36">
        <f t="shared" si="4"/>
        <v>1</v>
      </c>
      <c r="W11" s="36">
        <f t="shared" si="5"/>
        <v>0</v>
      </c>
      <c r="X11" s="30" t="s">
        <v>225</v>
      </c>
      <c r="Y11" s="30" t="s">
        <v>226</v>
      </c>
      <c r="Z11" s="30" t="s">
        <v>227</v>
      </c>
      <c r="AA11" s="30" t="s">
        <v>228</v>
      </c>
      <c r="AB11" s="37">
        <f>IFERROR(VLOOKUP(B11,'Scheme Master'!$B$4:$C$79,2,FALSE),"")</f>
        <v>480</v>
      </c>
      <c r="AC11" s="38">
        <f t="shared" si="6"/>
        <v>12960</v>
      </c>
      <c r="AD11" s="49"/>
      <c r="AE11" s="49"/>
      <c r="AF11" s="40" t="str">
        <f t="shared" si="7"/>
        <v/>
      </c>
      <c r="AG11" s="41" t="str">
        <f t="shared" si="8"/>
        <v/>
      </c>
      <c r="AH11" s="42" t="str">
        <f t="shared" si="9"/>
        <v/>
      </c>
      <c r="AI11" s="43" t="str">
        <f t="shared" si="10"/>
        <v/>
      </c>
      <c r="AJ11" s="44" t="str">
        <f t="shared" ref="AJ11:AJ48" si="13">IF(AI11="","",IF(AF11&gt;AC11,"URGENT: Expenses exceed total income. Immediate review needed.",IF(AH11&gt;0.4,"Expenses exceed 40% of income. Management approval required.","Within budget. No approval needed.")))</f>
        <v/>
      </c>
      <c r="AK11" s="71"/>
      <c r="AL11" s="45"/>
      <c r="AM11" s="53"/>
      <c r="AN11" s="54"/>
      <c r="AO11" s="43" t="str">
        <f t="shared" si="11"/>
        <v/>
      </c>
      <c r="AP11" s="48"/>
      <c r="AQ11" s="48"/>
      <c r="AR11" s="47" t="s">
        <v>159</v>
      </c>
      <c r="AS11" s="49"/>
      <c r="AT11" s="50"/>
      <c r="AU11" s="48"/>
      <c r="AV11" s="48"/>
      <c r="AW11" s="48"/>
      <c r="AX11" s="48"/>
      <c r="AY11" s="48"/>
    </row>
    <row r="12" ht="24.0" customHeight="1">
      <c r="A12" s="25">
        <v>11.0</v>
      </c>
      <c r="B12" s="26" t="s">
        <v>45</v>
      </c>
      <c r="C12" s="27">
        <v>3756600.0</v>
      </c>
      <c r="D12" s="28" t="s">
        <v>188</v>
      </c>
      <c r="E12" s="30" t="s">
        <v>50</v>
      </c>
      <c r="F12" s="30"/>
      <c r="G12" s="30" t="s">
        <v>229</v>
      </c>
      <c r="H12" s="70" t="s">
        <v>171</v>
      </c>
      <c r="I12" s="30" t="s">
        <v>172</v>
      </c>
      <c r="J12" s="30" t="s">
        <v>173</v>
      </c>
      <c r="K12" s="32">
        <v>46115.0</v>
      </c>
      <c r="L12" s="33">
        <v>46115.0</v>
      </c>
      <c r="M12" s="34">
        <v>22.0</v>
      </c>
      <c r="N12" s="34">
        <v>15.0</v>
      </c>
      <c r="O12" s="35">
        <f t="shared" si="1"/>
        <v>7</v>
      </c>
      <c r="P12" s="34">
        <v>11.0</v>
      </c>
      <c r="Q12" s="35">
        <f t="shared" si="2"/>
        <v>4</v>
      </c>
      <c r="R12" s="34">
        <v>15.0</v>
      </c>
      <c r="S12" s="35">
        <f t="shared" si="3"/>
        <v>0</v>
      </c>
      <c r="T12" s="33">
        <v>46115.0</v>
      </c>
      <c r="U12" s="30" t="s">
        <v>150</v>
      </c>
      <c r="V12" s="36">
        <f t="shared" si="4"/>
        <v>1</v>
      </c>
      <c r="W12" s="36">
        <f t="shared" si="5"/>
        <v>0</v>
      </c>
      <c r="X12" s="30" t="s">
        <v>230</v>
      </c>
      <c r="Y12" s="30" t="s">
        <v>231</v>
      </c>
      <c r="Z12" s="30" t="s">
        <v>230</v>
      </c>
      <c r="AA12" s="30" t="s">
        <v>177</v>
      </c>
      <c r="AB12" s="37">
        <f>IFERROR(VLOOKUP(B12,'Scheme Master'!$B$4:$C$79,2,FALSE),"")</f>
        <v>360</v>
      </c>
      <c r="AC12" s="38">
        <f t="shared" si="6"/>
        <v>5400</v>
      </c>
      <c r="AD12" s="39">
        <v>2000.0</v>
      </c>
      <c r="AE12" s="49"/>
      <c r="AF12" s="40">
        <f t="shared" si="7"/>
        <v>2000</v>
      </c>
      <c r="AG12" s="41">
        <f t="shared" si="8"/>
        <v>3400</v>
      </c>
      <c r="AH12" s="42">
        <f t="shared" si="9"/>
        <v>0.3703703704</v>
      </c>
      <c r="AI12" s="43" t="str">
        <f t="shared" si="10"/>
        <v>✅ Auto-Approved</v>
      </c>
      <c r="AJ12" s="44" t="str">
        <f t="shared" si="13"/>
        <v>Within budget. No approval needed.</v>
      </c>
      <c r="AK12" s="71"/>
      <c r="AL12" s="45"/>
      <c r="AM12" s="53"/>
      <c r="AN12" s="54"/>
      <c r="AO12" s="43" t="str">
        <f t="shared" si="11"/>
        <v>✅ Approved (Auto - Within Budget)</v>
      </c>
      <c r="AP12" s="47" t="s">
        <v>158</v>
      </c>
      <c r="AQ12" s="48"/>
      <c r="AR12" s="47" t="s">
        <v>159</v>
      </c>
      <c r="AS12" s="49"/>
      <c r="AT12" s="50"/>
      <c r="AU12" s="48"/>
      <c r="AV12" s="48"/>
      <c r="AW12" s="48"/>
      <c r="AX12" s="48"/>
      <c r="AY12" s="48"/>
    </row>
    <row r="13" ht="24.0" customHeight="1">
      <c r="A13" s="52">
        <v>12.0</v>
      </c>
      <c r="B13" s="26" t="s">
        <v>45</v>
      </c>
      <c r="C13" s="27">
        <v>3756452.0</v>
      </c>
      <c r="D13" s="28" t="s">
        <v>188</v>
      </c>
      <c r="E13" s="30" t="s">
        <v>50</v>
      </c>
      <c r="F13" s="30"/>
      <c r="G13" s="30" t="s">
        <v>229</v>
      </c>
      <c r="H13" s="70" t="s">
        <v>232</v>
      </c>
      <c r="I13" s="30" t="s">
        <v>233</v>
      </c>
      <c r="J13" s="30" t="s">
        <v>193</v>
      </c>
      <c r="K13" s="32">
        <v>46115.0</v>
      </c>
      <c r="L13" s="33">
        <v>46115.0</v>
      </c>
      <c r="M13" s="34">
        <v>2.0</v>
      </c>
      <c r="N13" s="34">
        <v>2.0</v>
      </c>
      <c r="O13" s="35">
        <f t="shared" si="1"/>
        <v>0</v>
      </c>
      <c r="P13" s="34">
        <v>2.0</v>
      </c>
      <c r="Q13" s="35">
        <f t="shared" si="2"/>
        <v>0</v>
      </c>
      <c r="R13" s="34">
        <v>2.0</v>
      </c>
      <c r="S13" s="35">
        <f t="shared" si="3"/>
        <v>0</v>
      </c>
      <c r="T13" s="33">
        <v>46115.0</v>
      </c>
      <c r="U13" s="30" t="s">
        <v>150</v>
      </c>
      <c r="V13" s="36">
        <f t="shared" si="4"/>
        <v>1</v>
      </c>
      <c r="W13" s="36">
        <f t="shared" si="5"/>
        <v>0</v>
      </c>
      <c r="X13" s="30" t="s">
        <v>234</v>
      </c>
      <c r="Y13" s="30" t="s">
        <v>235</v>
      </c>
      <c r="Z13" s="30" t="s">
        <v>234</v>
      </c>
      <c r="AA13" s="30" t="s">
        <v>236</v>
      </c>
      <c r="AB13" s="37">
        <f>IFERROR(VLOOKUP(B13,'Scheme Master'!$B$4:$C$79,2,FALSE),"")</f>
        <v>360</v>
      </c>
      <c r="AC13" s="38">
        <f t="shared" si="6"/>
        <v>720</v>
      </c>
      <c r="AD13" s="39">
        <v>200.0</v>
      </c>
      <c r="AE13" s="49"/>
      <c r="AF13" s="40">
        <f t="shared" si="7"/>
        <v>200</v>
      </c>
      <c r="AG13" s="41">
        <f t="shared" si="8"/>
        <v>520</v>
      </c>
      <c r="AH13" s="42">
        <f t="shared" si="9"/>
        <v>0.2777777778</v>
      </c>
      <c r="AI13" s="43" t="str">
        <f t="shared" si="10"/>
        <v>✅ Auto-Approved</v>
      </c>
      <c r="AJ13" s="44" t="str">
        <f t="shared" si="13"/>
        <v>Within budget. No approval needed.</v>
      </c>
      <c r="AK13" s="71"/>
      <c r="AL13" s="45"/>
      <c r="AM13" s="53"/>
      <c r="AN13" s="54"/>
      <c r="AO13" s="43" t="str">
        <f t="shared" si="11"/>
        <v>✅ Approved (Auto - Within Budget)</v>
      </c>
      <c r="AP13" s="47" t="s">
        <v>158</v>
      </c>
      <c r="AQ13" s="48"/>
      <c r="AR13" s="47" t="s">
        <v>159</v>
      </c>
      <c r="AS13" s="49"/>
      <c r="AT13" s="50"/>
      <c r="AU13" s="48"/>
      <c r="AV13" s="48"/>
      <c r="AW13" s="48"/>
      <c r="AX13" s="48"/>
      <c r="AY13" s="48"/>
    </row>
    <row r="14" ht="24.0" customHeight="1">
      <c r="A14" s="25">
        <v>13.0</v>
      </c>
      <c r="B14" s="26" t="s">
        <v>6</v>
      </c>
      <c r="C14" s="27">
        <v>3739936.0</v>
      </c>
      <c r="D14" s="28" t="s">
        <v>161</v>
      </c>
      <c r="E14" s="30" t="s">
        <v>162</v>
      </c>
      <c r="F14" s="30"/>
      <c r="G14" s="30" t="s">
        <v>237</v>
      </c>
      <c r="H14" s="70" t="s">
        <v>238</v>
      </c>
      <c r="I14" s="30" t="s">
        <v>239</v>
      </c>
      <c r="J14" s="30" t="s">
        <v>240</v>
      </c>
      <c r="K14" s="32">
        <v>46116.0</v>
      </c>
      <c r="L14" s="33">
        <v>46116.0</v>
      </c>
      <c r="M14" s="34">
        <v>24.0</v>
      </c>
      <c r="N14" s="34">
        <v>20.0</v>
      </c>
      <c r="O14" s="35">
        <f t="shared" si="1"/>
        <v>4</v>
      </c>
      <c r="P14" s="34">
        <v>18.0</v>
      </c>
      <c r="Q14" s="35">
        <f t="shared" si="2"/>
        <v>2</v>
      </c>
      <c r="R14" s="34">
        <v>20.0</v>
      </c>
      <c r="S14" s="35">
        <f t="shared" si="3"/>
        <v>0</v>
      </c>
      <c r="T14" s="33">
        <v>46118.0</v>
      </c>
      <c r="U14" s="30" t="s">
        <v>150</v>
      </c>
      <c r="V14" s="36">
        <f t="shared" si="4"/>
        <v>1</v>
      </c>
      <c r="W14" s="36">
        <f t="shared" si="5"/>
        <v>0</v>
      </c>
      <c r="X14" s="30" t="s">
        <v>241</v>
      </c>
      <c r="Y14" s="30" t="s">
        <v>242</v>
      </c>
      <c r="Z14" s="30" t="s">
        <v>243</v>
      </c>
      <c r="AA14" s="30" t="s">
        <v>244</v>
      </c>
      <c r="AB14" s="37">
        <f>IFERROR(VLOOKUP(B14,'Scheme Master'!$B$4:$C$79,2,FALSE),"")</f>
        <v>480</v>
      </c>
      <c r="AC14" s="38">
        <f t="shared" si="6"/>
        <v>9600</v>
      </c>
      <c r="AD14" s="39">
        <v>2000.0</v>
      </c>
      <c r="AE14" s="39">
        <v>1000.0</v>
      </c>
      <c r="AF14" s="40">
        <f t="shared" si="7"/>
        <v>3000</v>
      </c>
      <c r="AG14" s="41">
        <f t="shared" si="8"/>
        <v>6600</v>
      </c>
      <c r="AH14" s="42">
        <f t="shared" si="9"/>
        <v>0.3125</v>
      </c>
      <c r="AI14" s="43" t="str">
        <f t="shared" si="10"/>
        <v>✅ Auto-Approved</v>
      </c>
      <c r="AJ14" s="44" t="str">
        <f t="shared" si="13"/>
        <v>Within budget. No approval needed.</v>
      </c>
      <c r="AK14" s="28" t="s">
        <v>155</v>
      </c>
      <c r="AL14" s="45" t="s">
        <v>156</v>
      </c>
      <c r="AM14" s="46">
        <v>46113.0</v>
      </c>
      <c r="AN14" s="54"/>
      <c r="AO14" s="43" t="str">
        <f t="shared" si="11"/>
        <v>✅ Approved (Auto - Within Budget)</v>
      </c>
      <c r="AP14" s="48"/>
      <c r="AQ14" s="48"/>
      <c r="AR14" s="47" t="s">
        <v>159</v>
      </c>
      <c r="AS14" s="49"/>
      <c r="AT14" s="50"/>
      <c r="AU14" s="48"/>
      <c r="AV14" s="48"/>
      <c r="AW14" s="48"/>
      <c r="AX14" s="48"/>
      <c r="AY14" s="48"/>
    </row>
    <row r="15" ht="24.0" customHeight="1">
      <c r="A15" s="52">
        <v>8.0</v>
      </c>
      <c r="B15" s="26" t="s">
        <v>9</v>
      </c>
      <c r="C15" s="27">
        <v>3466403.0</v>
      </c>
      <c r="D15" s="28" t="s">
        <v>245</v>
      </c>
      <c r="E15" s="30" t="s">
        <v>178</v>
      </c>
      <c r="F15" s="30"/>
      <c r="G15" s="30" t="s">
        <v>208</v>
      </c>
      <c r="H15" s="70" t="s">
        <v>209</v>
      </c>
      <c r="I15" s="30" t="s">
        <v>210</v>
      </c>
      <c r="J15" s="30" t="s">
        <v>211</v>
      </c>
      <c r="K15" s="32">
        <v>46115.0</v>
      </c>
      <c r="L15" s="33">
        <v>46116.0</v>
      </c>
      <c r="M15" s="34">
        <v>35.0</v>
      </c>
      <c r="N15" s="34">
        <v>27.0</v>
      </c>
      <c r="O15" s="35">
        <f t="shared" si="1"/>
        <v>8</v>
      </c>
      <c r="P15" s="34">
        <v>13.0</v>
      </c>
      <c r="Q15" s="35">
        <f t="shared" si="2"/>
        <v>14</v>
      </c>
      <c r="R15" s="34">
        <v>26.0</v>
      </c>
      <c r="S15" s="35">
        <f t="shared" si="3"/>
        <v>1</v>
      </c>
      <c r="T15" s="33">
        <v>46118.0</v>
      </c>
      <c r="U15" s="30" t="s">
        <v>150</v>
      </c>
      <c r="V15" s="36">
        <f t="shared" si="4"/>
        <v>0.962962963</v>
      </c>
      <c r="W15" s="36">
        <f t="shared" si="5"/>
        <v>0.03703703704</v>
      </c>
      <c r="X15" s="30" t="s">
        <v>212</v>
      </c>
      <c r="Y15" s="30" t="s">
        <v>213</v>
      </c>
      <c r="Z15" s="30" t="s">
        <v>214</v>
      </c>
      <c r="AA15" s="30" t="s">
        <v>214</v>
      </c>
      <c r="AB15" s="37">
        <f>IFERROR(VLOOKUP(B15,'Scheme Master'!$B$4:$C$79,2,FALSE),"")</f>
        <v>720</v>
      </c>
      <c r="AC15" s="38">
        <f t="shared" si="6"/>
        <v>19440</v>
      </c>
      <c r="AD15" s="49"/>
      <c r="AE15" s="49"/>
      <c r="AF15" s="40" t="str">
        <f t="shared" si="7"/>
        <v/>
      </c>
      <c r="AG15" s="41" t="str">
        <f t="shared" si="8"/>
        <v/>
      </c>
      <c r="AH15" s="42" t="str">
        <f t="shared" si="9"/>
        <v/>
      </c>
      <c r="AI15" s="43" t="str">
        <f t="shared" si="10"/>
        <v/>
      </c>
      <c r="AJ15" s="44" t="str">
        <f t="shared" si="13"/>
        <v/>
      </c>
      <c r="AK15" s="71"/>
      <c r="AL15" s="45"/>
      <c r="AM15" s="53"/>
      <c r="AN15" s="54"/>
      <c r="AO15" s="43" t="str">
        <f t="shared" si="11"/>
        <v/>
      </c>
      <c r="AP15" s="48"/>
      <c r="AQ15" s="48"/>
      <c r="AR15" s="47" t="s">
        <v>159</v>
      </c>
      <c r="AS15" s="49"/>
      <c r="AT15" s="50"/>
      <c r="AU15" s="48"/>
      <c r="AV15" s="48"/>
      <c r="AW15" s="48"/>
      <c r="AX15" s="48"/>
      <c r="AY15" s="48"/>
    </row>
    <row r="16" ht="24.0" customHeight="1">
      <c r="A16" s="52">
        <v>14.0</v>
      </c>
      <c r="B16" s="26" t="s">
        <v>15</v>
      </c>
      <c r="C16" s="27" t="s">
        <v>246</v>
      </c>
      <c r="D16" s="28" t="s">
        <v>161</v>
      </c>
      <c r="E16" s="30" t="s">
        <v>50</v>
      </c>
      <c r="F16" s="30"/>
      <c r="G16" s="30" t="s">
        <v>247</v>
      </c>
      <c r="H16" s="70" t="s">
        <v>248</v>
      </c>
      <c r="I16" s="30" t="s">
        <v>249</v>
      </c>
      <c r="J16" s="30" t="s">
        <v>250</v>
      </c>
      <c r="K16" s="32">
        <v>46116.0</v>
      </c>
      <c r="L16" s="33">
        <v>46116.0</v>
      </c>
      <c r="M16" s="34">
        <v>25.0</v>
      </c>
      <c r="N16" s="34">
        <v>21.0</v>
      </c>
      <c r="O16" s="35">
        <f t="shared" si="1"/>
        <v>4</v>
      </c>
      <c r="P16" s="34">
        <v>19.0</v>
      </c>
      <c r="Q16" s="35">
        <f t="shared" si="2"/>
        <v>2</v>
      </c>
      <c r="R16" s="34">
        <v>21.0</v>
      </c>
      <c r="S16" s="35">
        <f t="shared" si="3"/>
        <v>0</v>
      </c>
      <c r="T16" s="33">
        <v>46118.0</v>
      </c>
      <c r="U16" s="30" t="s">
        <v>150</v>
      </c>
      <c r="V16" s="36">
        <f t="shared" si="4"/>
        <v>1</v>
      </c>
      <c r="W16" s="36">
        <f t="shared" si="5"/>
        <v>0</v>
      </c>
      <c r="X16" s="30" t="s">
        <v>251</v>
      </c>
      <c r="Y16" s="30" t="s">
        <v>252</v>
      </c>
      <c r="Z16" s="30" t="s">
        <v>253</v>
      </c>
      <c r="AA16" s="30" t="s">
        <v>254</v>
      </c>
      <c r="AB16" s="37">
        <f>IFERROR(VLOOKUP(B16,'Scheme Master'!$B$4:$C$79,2,FALSE),"")</f>
        <v>540</v>
      </c>
      <c r="AC16" s="38">
        <f t="shared" si="6"/>
        <v>11340</v>
      </c>
      <c r="AD16" s="49"/>
      <c r="AE16" s="49"/>
      <c r="AF16" s="40" t="str">
        <f t="shared" si="7"/>
        <v/>
      </c>
      <c r="AG16" s="41" t="str">
        <f t="shared" si="8"/>
        <v/>
      </c>
      <c r="AH16" s="42" t="str">
        <f t="shared" si="9"/>
        <v/>
      </c>
      <c r="AI16" s="43" t="str">
        <f t="shared" si="10"/>
        <v/>
      </c>
      <c r="AJ16" s="44" t="str">
        <f t="shared" si="13"/>
        <v/>
      </c>
      <c r="AK16" s="71"/>
      <c r="AL16" s="45"/>
      <c r="AM16" s="53"/>
      <c r="AN16" s="54"/>
      <c r="AO16" s="43" t="str">
        <f t="shared" si="11"/>
        <v/>
      </c>
      <c r="AP16" s="48"/>
      <c r="AQ16" s="48"/>
      <c r="AR16" s="47" t="s">
        <v>159</v>
      </c>
      <c r="AS16" s="49"/>
      <c r="AT16" s="50"/>
      <c r="AU16" s="48"/>
      <c r="AV16" s="48"/>
      <c r="AW16" s="48"/>
      <c r="AX16" s="48"/>
      <c r="AY16" s="48"/>
    </row>
    <row r="17" ht="24.0" customHeight="1">
      <c r="A17" s="25">
        <v>15.0</v>
      </c>
      <c r="B17" s="26" t="s">
        <v>13</v>
      </c>
      <c r="C17" s="27">
        <v>3727804.0</v>
      </c>
      <c r="D17" s="28" t="s">
        <v>207</v>
      </c>
      <c r="E17" s="30" t="s">
        <v>178</v>
      </c>
      <c r="F17" s="30"/>
      <c r="G17" s="30" t="s">
        <v>255</v>
      </c>
      <c r="H17" s="70" t="s">
        <v>256</v>
      </c>
      <c r="I17" s="30" t="s">
        <v>257</v>
      </c>
      <c r="J17" s="30" t="s">
        <v>258</v>
      </c>
      <c r="K17" s="32">
        <v>46116.0</v>
      </c>
      <c r="L17" s="33">
        <v>46117.0</v>
      </c>
      <c r="M17" s="34">
        <v>25.0</v>
      </c>
      <c r="N17" s="34">
        <v>24.0</v>
      </c>
      <c r="O17" s="35">
        <f t="shared" si="1"/>
        <v>1</v>
      </c>
      <c r="P17" s="34">
        <v>24.0</v>
      </c>
      <c r="Q17" s="35">
        <f t="shared" si="2"/>
        <v>0</v>
      </c>
      <c r="R17" s="34">
        <v>23.0</v>
      </c>
      <c r="S17" s="35">
        <f t="shared" si="3"/>
        <v>1</v>
      </c>
      <c r="T17" s="33">
        <v>46119.0</v>
      </c>
      <c r="U17" s="30" t="s">
        <v>150</v>
      </c>
      <c r="V17" s="36">
        <f t="shared" si="4"/>
        <v>0.9583333333</v>
      </c>
      <c r="W17" s="36">
        <f t="shared" si="5"/>
        <v>0.04166666667</v>
      </c>
      <c r="X17" s="30" t="s">
        <v>259</v>
      </c>
      <c r="Y17" s="30" t="s">
        <v>260</v>
      </c>
      <c r="Z17" s="30" t="s">
        <v>261</v>
      </c>
      <c r="AA17" s="30" t="s">
        <v>262</v>
      </c>
      <c r="AB17" s="37">
        <f>IFERROR(VLOOKUP(B17,'Scheme Master'!$B$4:$C$79,2,FALSE),"")</f>
        <v>540</v>
      </c>
      <c r="AC17" s="38">
        <f t="shared" si="6"/>
        <v>12960</v>
      </c>
      <c r="AD17" s="39">
        <v>2000.0</v>
      </c>
      <c r="AE17" s="39">
        <v>2000.0</v>
      </c>
      <c r="AF17" s="40">
        <f t="shared" si="7"/>
        <v>4000</v>
      </c>
      <c r="AG17" s="41">
        <f t="shared" si="8"/>
        <v>8960</v>
      </c>
      <c r="AH17" s="42">
        <f t="shared" si="9"/>
        <v>0.3086419753</v>
      </c>
      <c r="AI17" s="43" t="str">
        <f t="shared" si="10"/>
        <v>✅ Auto-Approved</v>
      </c>
      <c r="AJ17" s="44" t="str">
        <f t="shared" si="13"/>
        <v>Within budget. No approval needed.</v>
      </c>
      <c r="AK17" s="71"/>
      <c r="AL17" s="45"/>
      <c r="AM17" s="53"/>
      <c r="AN17" s="54"/>
      <c r="AO17" s="43" t="str">
        <f t="shared" si="11"/>
        <v>✅ Approved (Auto - Within Budget)</v>
      </c>
      <c r="AP17" s="48"/>
      <c r="AQ17" s="48"/>
      <c r="AR17" s="47" t="s">
        <v>159</v>
      </c>
      <c r="AS17" s="49"/>
      <c r="AT17" s="50"/>
      <c r="AU17" s="48"/>
      <c r="AV17" s="48"/>
      <c r="AW17" s="48"/>
      <c r="AX17" s="48"/>
      <c r="AY17" s="48"/>
    </row>
    <row r="18" ht="24.0" customHeight="1">
      <c r="A18" s="52">
        <v>16.0</v>
      </c>
      <c r="B18" s="26" t="s">
        <v>45</v>
      </c>
      <c r="C18" s="27">
        <v>3735550.0</v>
      </c>
      <c r="D18" s="28" t="s">
        <v>145</v>
      </c>
      <c r="E18" s="30" t="s">
        <v>178</v>
      </c>
      <c r="F18" s="30"/>
      <c r="G18" s="30" t="s">
        <v>179</v>
      </c>
      <c r="H18" s="70" t="s">
        <v>263</v>
      </c>
      <c r="I18" s="30" t="s">
        <v>264</v>
      </c>
      <c r="J18" s="30" t="s">
        <v>265</v>
      </c>
      <c r="K18" s="32">
        <v>46116.0</v>
      </c>
      <c r="L18" s="33">
        <v>46116.0</v>
      </c>
      <c r="M18" s="34">
        <v>23.0</v>
      </c>
      <c r="N18" s="34">
        <v>20.0</v>
      </c>
      <c r="O18" s="35">
        <f t="shared" si="1"/>
        <v>3</v>
      </c>
      <c r="P18" s="34">
        <v>20.0</v>
      </c>
      <c r="Q18" s="35">
        <f t="shared" si="2"/>
        <v>0</v>
      </c>
      <c r="R18" s="34">
        <v>20.0</v>
      </c>
      <c r="S18" s="35">
        <f t="shared" si="3"/>
        <v>0</v>
      </c>
      <c r="T18" s="33">
        <v>46116.0</v>
      </c>
      <c r="U18" s="30" t="s">
        <v>150</v>
      </c>
      <c r="V18" s="36">
        <f t="shared" si="4"/>
        <v>1</v>
      </c>
      <c r="W18" s="36">
        <f t="shared" si="5"/>
        <v>0</v>
      </c>
      <c r="X18" s="30" t="s">
        <v>266</v>
      </c>
      <c r="Y18" s="30" t="s">
        <v>267</v>
      </c>
      <c r="Z18" s="30" t="s">
        <v>268</v>
      </c>
      <c r="AA18" s="30" t="s">
        <v>269</v>
      </c>
      <c r="AB18" s="37">
        <f>IFERROR(VLOOKUP(B18,'Scheme Master'!$B$4:$C$79,2,FALSE),"")</f>
        <v>360</v>
      </c>
      <c r="AC18" s="38">
        <f t="shared" si="6"/>
        <v>7200</v>
      </c>
      <c r="AD18" s="39">
        <v>2000.0</v>
      </c>
      <c r="AE18" s="49"/>
      <c r="AF18" s="40">
        <f t="shared" si="7"/>
        <v>2000</v>
      </c>
      <c r="AG18" s="41">
        <f t="shared" si="8"/>
        <v>5200</v>
      </c>
      <c r="AH18" s="42">
        <f t="shared" si="9"/>
        <v>0.2777777778</v>
      </c>
      <c r="AI18" s="43" t="str">
        <f t="shared" si="10"/>
        <v>✅ Auto-Approved</v>
      </c>
      <c r="AJ18" s="44" t="str">
        <f t="shared" si="13"/>
        <v>Within budget. No approval needed.</v>
      </c>
      <c r="AK18" s="71"/>
      <c r="AL18" s="45"/>
      <c r="AM18" s="53"/>
      <c r="AN18" s="54"/>
      <c r="AO18" s="43" t="str">
        <f t="shared" si="11"/>
        <v>✅ Approved (Auto - Within Budget)</v>
      </c>
      <c r="AP18" s="47" t="s">
        <v>158</v>
      </c>
      <c r="AQ18" s="48"/>
      <c r="AR18" s="47" t="s">
        <v>159</v>
      </c>
      <c r="AS18" s="49"/>
      <c r="AT18" s="50"/>
      <c r="AU18" s="48"/>
      <c r="AV18" s="48"/>
      <c r="AW18" s="48"/>
      <c r="AX18" s="48"/>
      <c r="AY18" s="48"/>
    </row>
    <row r="19" ht="24.0" customHeight="1">
      <c r="A19" s="25">
        <v>17.0</v>
      </c>
      <c r="B19" s="26" t="s">
        <v>45</v>
      </c>
      <c r="C19" s="27">
        <v>3756888.0</v>
      </c>
      <c r="D19" s="28" t="s">
        <v>188</v>
      </c>
      <c r="E19" s="30" t="s">
        <v>189</v>
      </c>
      <c r="F19" s="30"/>
      <c r="G19" s="30" t="s">
        <v>190</v>
      </c>
      <c r="H19" s="70" t="s">
        <v>270</v>
      </c>
      <c r="I19" s="30" t="s">
        <v>271</v>
      </c>
      <c r="J19" s="30" t="s">
        <v>149</v>
      </c>
      <c r="K19" s="32">
        <v>46116.0</v>
      </c>
      <c r="L19" s="33">
        <v>46116.0</v>
      </c>
      <c r="M19" s="34">
        <v>18.0</v>
      </c>
      <c r="N19" s="34">
        <v>17.0</v>
      </c>
      <c r="O19" s="35">
        <f t="shared" si="1"/>
        <v>1</v>
      </c>
      <c r="P19" s="34">
        <v>0.0</v>
      </c>
      <c r="Q19" s="35">
        <f t="shared" si="2"/>
        <v>17</v>
      </c>
      <c r="R19" s="34">
        <v>17.0</v>
      </c>
      <c r="S19" s="35">
        <f t="shared" si="3"/>
        <v>0</v>
      </c>
      <c r="T19" s="33">
        <v>46116.0</v>
      </c>
      <c r="U19" s="30" t="s">
        <v>150</v>
      </c>
      <c r="V19" s="36">
        <f t="shared" si="4"/>
        <v>1</v>
      </c>
      <c r="W19" s="36">
        <f t="shared" si="5"/>
        <v>0</v>
      </c>
      <c r="X19" s="30" t="s">
        <v>272</v>
      </c>
      <c r="Y19" s="30" t="s">
        <v>273</v>
      </c>
      <c r="Z19" s="30" t="s">
        <v>272</v>
      </c>
      <c r="AA19" s="30" t="s">
        <v>274</v>
      </c>
      <c r="AB19" s="37">
        <f>IFERROR(VLOOKUP(B19,'Scheme Master'!$B$4:$C$79,2,FALSE),"")</f>
        <v>360</v>
      </c>
      <c r="AC19" s="38">
        <f t="shared" si="6"/>
        <v>6120</v>
      </c>
      <c r="AD19" s="39">
        <v>2000.0</v>
      </c>
      <c r="AE19" s="49"/>
      <c r="AF19" s="40">
        <f t="shared" si="7"/>
        <v>2000</v>
      </c>
      <c r="AG19" s="41">
        <f t="shared" si="8"/>
        <v>4120</v>
      </c>
      <c r="AH19" s="42">
        <f t="shared" si="9"/>
        <v>0.3267973856</v>
      </c>
      <c r="AI19" s="43" t="str">
        <f t="shared" si="10"/>
        <v>✅ Auto-Approved</v>
      </c>
      <c r="AJ19" s="44" t="str">
        <f t="shared" si="13"/>
        <v>Within budget. No approval needed.</v>
      </c>
      <c r="AK19" s="71"/>
      <c r="AL19" s="45"/>
      <c r="AM19" s="53"/>
      <c r="AN19" s="54"/>
      <c r="AO19" s="43" t="str">
        <f t="shared" si="11"/>
        <v>✅ Approved (Auto - Within Budget)</v>
      </c>
      <c r="AP19" s="47" t="s">
        <v>158</v>
      </c>
      <c r="AQ19" s="48"/>
      <c r="AR19" s="47" t="s">
        <v>159</v>
      </c>
      <c r="AS19" s="49"/>
      <c r="AT19" s="50"/>
      <c r="AU19" s="48"/>
      <c r="AV19" s="48"/>
      <c r="AW19" s="48"/>
      <c r="AX19" s="48"/>
      <c r="AY19" s="48"/>
    </row>
    <row r="20" ht="24.0" customHeight="1">
      <c r="A20" s="52">
        <v>18.0</v>
      </c>
      <c r="B20" s="26" t="s">
        <v>45</v>
      </c>
      <c r="C20" s="27">
        <v>3755823.0</v>
      </c>
      <c r="D20" s="28" t="s">
        <v>188</v>
      </c>
      <c r="E20" s="30" t="s">
        <v>50</v>
      </c>
      <c r="F20" s="30"/>
      <c r="G20" s="30" t="s">
        <v>146</v>
      </c>
      <c r="H20" s="70" t="s">
        <v>275</v>
      </c>
      <c r="I20" s="30" t="s">
        <v>276</v>
      </c>
      <c r="J20" s="30" t="s">
        <v>149</v>
      </c>
      <c r="K20" s="32">
        <v>46116.0</v>
      </c>
      <c r="L20" s="33">
        <v>46116.0</v>
      </c>
      <c r="M20" s="34">
        <v>19.0</v>
      </c>
      <c r="N20" s="34">
        <v>19.0</v>
      </c>
      <c r="O20" s="35">
        <f t="shared" si="1"/>
        <v>0</v>
      </c>
      <c r="P20" s="34">
        <v>9.0</v>
      </c>
      <c r="Q20" s="35">
        <f t="shared" si="2"/>
        <v>10</v>
      </c>
      <c r="R20" s="34">
        <v>19.0</v>
      </c>
      <c r="S20" s="35">
        <f t="shared" si="3"/>
        <v>0</v>
      </c>
      <c r="T20" s="33">
        <v>46116.0</v>
      </c>
      <c r="U20" s="30" t="s">
        <v>150</v>
      </c>
      <c r="V20" s="36">
        <f t="shared" si="4"/>
        <v>1</v>
      </c>
      <c r="W20" s="36">
        <f t="shared" si="5"/>
        <v>0</v>
      </c>
      <c r="X20" s="30" t="s">
        <v>277</v>
      </c>
      <c r="Y20" s="30" t="s">
        <v>278</v>
      </c>
      <c r="Z20" s="30" t="s">
        <v>277</v>
      </c>
      <c r="AA20" s="30" t="s">
        <v>279</v>
      </c>
      <c r="AB20" s="37">
        <f>IFERROR(VLOOKUP(B20,'Scheme Master'!$B$4:$C$79,2,FALSE),"")</f>
        <v>360</v>
      </c>
      <c r="AC20" s="38">
        <f t="shared" si="6"/>
        <v>6840</v>
      </c>
      <c r="AD20" s="39">
        <v>2000.0</v>
      </c>
      <c r="AE20" s="49"/>
      <c r="AF20" s="40">
        <f t="shared" si="7"/>
        <v>2000</v>
      </c>
      <c r="AG20" s="41">
        <f t="shared" si="8"/>
        <v>4840</v>
      </c>
      <c r="AH20" s="42">
        <f t="shared" si="9"/>
        <v>0.2923976608</v>
      </c>
      <c r="AI20" s="43" t="str">
        <f t="shared" si="10"/>
        <v>✅ Auto-Approved</v>
      </c>
      <c r="AJ20" s="44" t="str">
        <f t="shared" si="13"/>
        <v>Within budget. No approval needed.</v>
      </c>
      <c r="AK20" s="71"/>
      <c r="AL20" s="45"/>
      <c r="AM20" s="53"/>
      <c r="AN20" s="54"/>
      <c r="AO20" s="43" t="str">
        <f t="shared" si="11"/>
        <v>✅ Approved (Auto - Within Budget)</v>
      </c>
      <c r="AP20" s="47" t="s">
        <v>158</v>
      </c>
      <c r="AQ20" s="48"/>
      <c r="AR20" s="47" t="s">
        <v>159</v>
      </c>
      <c r="AS20" s="49"/>
      <c r="AT20" s="50"/>
      <c r="AU20" s="48"/>
      <c r="AV20" s="48"/>
      <c r="AW20" s="48"/>
      <c r="AX20" s="48"/>
      <c r="AY20" s="48"/>
    </row>
    <row r="21" ht="24.0" customHeight="1">
      <c r="A21" s="72">
        <v>19.0</v>
      </c>
      <c r="B21" s="73" t="s">
        <v>45</v>
      </c>
      <c r="C21" s="74">
        <v>3739384.0</v>
      </c>
      <c r="D21" s="75" t="s">
        <v>188</v>
      </c>
      <c r="E21" s="76" t="s">
        <v>178</v>
      </c>
      <c r="F21" s="76"/>
      <c r="G21" s="76" t="s">
        <v>179</v>
      </c>
      <c r="H21" s="77" t="s">
        <v>203</v>
      </c>
      <c r="I21" s="76" t="s">
        <v>204</v>
      </c>
      <c r="J21" s="76" t="s">
        <v>182</v>
      </c>
      <c r="K21" s="78" t="s">
        <v>206</v>
      </c>
      <c r="L21" s="76" t="s">
        <v>206</v>
      </c>
      <c r="M21" s="79">
        <v>41.0</v>
      </c>
      <c r="N21" s="80"/>
      <c r="O21" s="81" t="str">
        <f t="shared" si="1"/>
        <v/>
      </c>
      <c r="P21" s="80"/>
      <c r="Q21" s="81" t="str">
        <f t="shared" si="2"/>
        <v/>
      </c>
      <c r="R21" s="80"/>
      <c r="S21" s="81" t="str">
        <f t="shared" si="3"/>
        <v/>
      </c>
      <c r="T21" s="82"/>
      <c r="U21" s="76"/>
      <c r="V21" s="83" t="str">
        <f t="shared" si="4"/>
        <v/>
      </c>
      <c r="W21" s="83" t="str">
        <f t="shared" si="5"/>
        <v/>
      </c>
      <c r="X21" s="84"/>
      <c r="Y21" s="84"/>
      <c r="Z21" s="84"/>
      <c r="AA21" s="84"/>
      <c r="AB21" s="37">
        <f>IFERROR(VLOOKUP(B21,'Scheme Master'!$B$4:$C$79,2,FALSE),"")</f>
        <v>360</v>
      </c>
      <c r="AC21" s="85" t="str">
        <f t="shared" si="6"/>
        <v/>
      </c>
      <c r="AD21" s="86"/>
      <c r="AE21" s="86"/>
      <c r="AF21" s="87" t="str">
        <f t="shared" si="7"/>
        <v/>
      </c>
      <c r="AG21" s="88" t="str">
        <f t="shared" si="8"/>
        <v/>
      </c>
      <c r="AH21" s="89" t="str">
        <f t="shared" si="9"/>
        <v/>
      </c>
      <c r="AI21" s="90" t="str">
        <f t="shared" si="10"/>
        <v/>
      </c>
      <c r="AJ21" s="91" t="str">
        <f t="shared" si="13"/>
        <v/>
      </c>
      <c r="AK21" s="92"/>
      <c r="AL21" s="74"/>
      <c r="AM21" s="93"/>
      <c r="AN21" s="94"/>
      <c r="AO21" s="90" t="str">
        <f t="shared" si="11"/>
        <v/>
      </c>
      <c r="AP21" s="95"/>
      <c r="AQ21" s="95"/>
      <c r="AR21" s="95"/>
      <c r="AS21" s="86"/>
      <c r="AT21" s="96"/>
      <c r="AU21" s="95"/>
      <c r="AV21" s="95"/>
      <c r="AW21" s="95"/>
      <c r="AX21" s="95"/>
      <c r="AY21" s="95"/>
    </row>
    <row r="22" ht="24.0" customHeight="1">
      <c r="A22" s="97">
        <v>20.0</v>
      </c>
      <c r="B22" s="73" t="s">
        <v>6</v>
      </c>
      <c r="C22" s="74">
        <v>3727439.0</v>
      </c>
      <c r="D22" s="75" t="s">
        <v>161</v>
      </c>
      <c r="E22" s="76" t="s">
        <v>162</v>
      </c>
      <c r="F22" s="76"/>
      <c r="G22" s="76" t="s">
        <v>237</v>
      </c>
      <c r="H22" s="77" t="s">
        <v>280</v>
      </c>
      <c r="I22" s="76" t="s">
        <v>281</v>
      </c>
      <c r="J22" s="76" t="s">
        <v>240</v>
      </c>
      <c r="K22" s="78" t="s">
        <v>206</v>
      </c>
      <c r="L22" s="76" t="s">
        <v>206</v>
      </c>
      <c r="M22" s="79">
        <v>38.0</v>
      </c>
      <c r="N22" s="80"/>
      <c r="O22" s="81" t="str">
        <f t="shared" si="1"/>
        <v/>
      </c>
      <c r="P22" s="80"/>
      <c r="Q22" s="81" t="str">
        <f t="shared" si="2"/>
        <v/>
      </c>
      <c r="R22" s="80"/>
      <c r="S22" s="81" t="str">
        <f t="shared" si="3"/>
        <v/>
      </c>
      <c r="T22" s="82"/>
      <c r="U22" s="76"/>
      <c r="V22" s="83" t="str">
        <f t="shared" si="4"/>
        <v/>
      </c>
      <c r="W22" s="83" t="str">
        <f t="shared" si="5"/>
        <v/>
      </c>
      <c r="X22" s="84"/>
      <c r="Y22" s="84"/>
      <c r="Z22" s="84"/>
      <c r="AA22" s="84"/>
      <c r="AB22" s="37">
        <f>IFERROR(VLOOKUP(B22,'Scheme Master'!$B$4:$C$79,2,FALSE),"")</f>
        <v>480</v>
      </c>
      <c r="AC22" s="85" t="str">
        <f t="shared" si="6"/>
        <v/>
      </c>
      <c r="AD22" s="86"/>
      <c r="AE22" s="86"/>
      <c r="AF22" s="87" t="str">
        <f t="shared" si="7"/>
        <v/>
      </c>
      <c r="AG22" s="88" t="str">
        <f t="shared" si="8"/>
        <v/>
      </c>
      <c r="AH22" s="89" t="str">
        <f t="shared" si="9"/>
        <v/>
      </c>
      <c r="AI22" s="90" t="str">
        <f t="shared" si="10"/>
        <v/>
      </c>
      <c r="AJ22" s="91" t="str">
        <f t="shared" si="13"/>
        <v/>
      </c>
      <c r="AK22" s="92"/>
      <c r="AL22" s="74"/>
      <c r="AM22" s="93"/>
      <c r="AN22" s="94"/>
      <c r="AO22" s="90" t="str">
        <f t="shared" si="11"/>
        <v/>
      </c>
      <c r="AP22" s="95"/>
      <c r="AQ22" s="95"/>
      <c r="AR22" s="95"/>
      <c r="AS22" s="86"/>
      <c r="AT22" s="96"/>
      <c r="AU22" s="95"/>
      <c r="AV22" s="95"/>
      <c r="AW22" s="95"/>
      <c r="AX22" s="95"/>
      <c r="AY22" s="95"/>
    </row>
    <row r="23" ht="24.0" customHeight="1">
      <c r="A23" s="72">
        <v>21.0</v>
      </c>
      <c r="B23" s="73" t="s">
        <v>6</v>
      </c>
      <c r="C23" s="74">
        <v>3708112.0</v>
      </c>
      <c r="D23" s="75" t="s">
        <v>161</v>
      </c>
      <c r="E23" s="76" t="s">
        <v>162</v>
      </c>
      <c r="F23" s="76"/>
      <c r="G23" s="76" t="s">
        <v>282</v>
      </c>
      <c r="H23" s="77" t="s">
        <v>283</v>
      </c>
      <c r="I23" s="76" t="s">
        <v>284</v>
      </c>
      <c r="J23" s="76" t="s">
        <v>285</v>
      </c>
      <c r="K23" s="78" t="s">
        <v>206</v>
      </c>
      <c r="L23" s="76" t="s">
        <v>206</v>
      </c>
      <c r="M23" s="79">
        <v>44.0</v>
      </c>
      <c r="N23" s="80"/>
      <c r="O23" s="81" t="str">
        <f t="shared" si="1"/>
        <v/>
      </c>
      <c r="P23" s="80"/>
      <c r="Q23" s="81" t="str">
        <f t="shared" si="2"/>
        <v/>
      </c>
      <c r="R23" s="80"/>
      <c r="S23" s="81" t="str">
        <f t="shared" si="3"/>
        <v/>
      </c>
      <c r="T23" s="82"/>
      <c r="U23" s="76"/>
      <c r="V23" s="83" t="str">
        <f t="shared" si="4"/>
        <v/>
      </c>
      <c r="W23" s="83" t="str">
        <f t="shared" si="5"/>
        <v/>
      </c>
      <c r="X23" s="84"/>
      <c r="Y23" s="84"/>
      <c r="Z23" s="84"/>
      <c r="AA23" s="84"/>
      <c r="AB23" s="37">
        <f>IFERROR(VLOOKUP(B23,'Scheme Master'!$B$4:$C$79,2,FALSE),"")</f>
        <v>480</v>
      </c>
      <c r="AC23" s="85" t="str">
        <f t="shared" si="6"/>
        <v/>
      </c>
      <c r="AD23" s="86"/>
      <c r="AE23" s="86"/>
      <c r="AF23" s="87" t="str">
        <f t="shared" si="7"/>
        <v/>
      </c>
      <c r="AG23" s="88" t="str">
        <f t="shared" si="8"/>
        <v/>
      </c>
      <c r="AH23" s="89" t="str">
        <f t="shared" si="9"/>
        <v/>
      </c>
      <c r="AI23" s="90" t="str">
        <f t="shared" si="10"/>
        <v/>
      </c>
      <c r="AJ23" s="91" t="str">
        <f t="shared" si="13"/>
        <v/>
      </c>
      <c r="AK23" s="92"/>
      <c r="AL23" s="74"/>
      <c r="AM23" s="93"/>
      <c r="AN23" s="94"/>
      <c r="AO23" s="90" t="str">
        <f t="shared" si="11"/>
        <v/>
      </c>
      <c r="AP23" s="95"/>
      <c r="AQ23" s="95"/>
      <c r="AR23" s="95"/>
      <c r="AS23" s="86"/>
      <c r="AT23" s="96"/>
      <c r="AU23" s="95"/>
      <c r="AV23" s="95"/>
      <c r="AW23" s="95"/>
      <c r="AX23" s="95"/>
      <c r="AY23" s="95"/>
    </row>
    <row r="24" ht="24.0" customHeight="1" outlineLevel="1">
      <c r="A24" s="25">
        <v>23.0</v>
      </c>
      <c r="B24" s="26" t="s">
        <v>11</v>
      </c>
      <c r="C24" s="27" t="s">
        <v>286</v>
      </c>
      <c r="D24" s="28" t="s">
        <v>161</v>
      </c>
      <c r="E24" s="30" t="s">
        <v>189</v>
      </c>
      <c r="F24" s="30"/>
      <c r="G24" s="30" t="s">
        <v>287</v>
      </c>
      <c r="H24" s="70" t="s">
        <v>288</v>
      </c>
      <c r="I24" s="30" t="s">
        <v>289</v>
      </c>
      <c r="J24" s="30" t="s">
        <v>290</v>
      </c>
      <c r="K24" s="98">
        <v>46117.0</v>
      </c>
      <c r="L24" s="99">
        <v>46117.0</v>
      </c>
      <c r="M24" s="100">
        <v>25.0</v>
      </c>
      <c r="N24" s="101">
        <v>25.0</v>
      </c>
      <c r="O24" s="100">
        <f t="shared" si="1"/>
        <v>0</v>
      </c>
      <c r="P24" s="101">
        <v>0.0</v>
      </c>
      <c r="Q24" s="100">
        <f t="shared" si="2"/>
        <v>25</v>
      </c>
      <c r="R24" s="101">
        <v>25.0</v>
      </c>
      <c r="S24" s="100">
        <f t="shared" si="3"/>
        <v>0</v>
      </c>
      <c r="T24" s="102">
        <v>46120.0</v>
      </c>
      <c r="U24" s="101" t="s">
        <v>150</v>
      </c>
      <c r="V24" s="36">
        <f t="shared" si="4"/>
        <v>1</v>
      </c>
      <c r="W24" s="36">
        <f t="shared" si="5"/>
        <v>0</v>
      </c>
      <c r="X24" s="100" t="s">
        <v>291</v>
      </c>
      <c r="Y24" s="100" t="s">
        <v>292</v>
      </c>
      <c r="Z24" s="101" t="s">
        <v>293</v>
      </c>
      <c r="AA24" s="101" t="s">
        <v>294</v>
      </c>
      <c r="AB24" s="37">
        <f>IFERROR(VLOOKUP(B24,'Scheme Master'!$B$4:$C$79,2,FALSE),"")</f>
        <v>540</v>
      </c>
      <c r="AC24" s="38">
        <f t="shared" si="6"/>
        <v>13500</v>
      </c>
      <c r="AD24" s="103"/>
      <c r="AE24" s="61">
        <v>1230.0</v>
      </c>
      <c r="AF24" s="40">
        <f t="shared" si="7"/>
        <v>1230</v>
      </c>
      <c r="AG24" s="41">
        <f t="shared" si="8"/>
        <v>12270</v>
      </c>
      <c r="AH24" s="42">
        <f t="shared" si="9"/>
        <v>0.09111111111</v>
      </c>
      <c r="AI24" s="43" t="str">
        <f t="shared" si="10"/>
        <v>✅ Auto-Approved</v>
      </c>
      <c r="AJ24" s="44" t="str">
        <f t="shared" si="13"/>
        <v>Within budget. No approval needed.</v>
      </c>
      <c r="AK24" s="104"/>
      <c r="AL24" s="65"/>
      <c r="AM24" s="64"/>
      <c r="AN24" s="65"/>
      <c r="AO24" s="43" t="str">
        <f t="shared" si="11"/>
        <v>✅ Approved (Auto - Within Budget)</v>
      </c>
      <c r="AP24" s="105"/>
      <c r="AQ24" s="105"/>
      <c r="AR24" s="106" t="s">
        <v>159</v>
      </c>
      <c r="AS24" s="103"/>
      <c r="AT24" s="107"/>
      <c r="AU24" s="105"/>
      <c r="AV24" s="105"/>
      <c r="AW24" s="105"/>
      <c r="AX24" s="105"/>
      <c r="AY24" s="105"/>
    </row>
    <row r="25" ht="24.0" customHeight="1" outlineLevel="1">
      <c r="A25" s="52">
        <v>24.0</v>
      </c>
      <c r="B25" s="26" t="s">
        <v>11</v>
      </c>
      <c r="C25" s="27" t="s">
        <v>295</v>
      </c>
      <c r="D25" s="28" t="s">
        <v>161</v>
      </c>
      <c r="E25" s="30" t="s">
        <v>189</v>
      </c>
      <c r="F25" s="30"/>
      <c r="G25" s="30" t="s">
        <v>287</v>
      </c>
      <c r="H25" s="70" t="s">
        <v>288</v>
      </c>
      <c r="I25" s="30" t="s">
        <v>289</v>
      </c>
      <c r="J25" s="30" t="s">
        <v>290</v>
      </c>
      <c r="K25" s="98">
        <v>46117.0</v>
      </c>
      <c r="L25" s="99">
        <v>46117.0</v>
      </c>
      <c r="M25" s="100">
        <v>25.0</v>
      </c>
      <c r="N25" s="101">
        <v>24.0</v>
      </c>
      <c r="O25" s="100">
        <f t="shared" si="1"/>
        <v>1</v>
      </c>
      <c r="P25" s="101">
        <v>0.0</v>
      </c>
      <c r="Q25" s="100">
        <f t="shared" si="2"/>
        <v>24</v>
      </c>
      <c r="R25" s="101">
        <v>24.0</v>
      </c>
      <c r="S25" s="100">
        <f t="shared" si="3"/>
        <v>0</v>
      </c>
      <c r="T25" s="102">
        <v>46120.0</v>
      </c>
      <c r="U25" s="101" t="s">
        <v>150</v>
      </c>
      <c r="V25" s="36">
        <f t="shared" si="4"/>
        <v>1</v>
      </c>
      <c r="W25" s="36">
        <f t="shared" si="5"/>
        <v>0</v>
      </c>
      <c r="X25" s="100" t="s">
        <v>291</v>
      </c>
      <c r="Y25" s="100" t="s">
        <v>292</v>
      </c>
      <c r="Z25" s="101" t="s">
        <v>293</v>
      </c>
      <c r="AA25" s="101" t="s">
        <v>294</v>
      </c>
      <c r="AB25" s="37">
        <f>IFERROR(VLOOKUP(B25,'Scheme Master'!$B$4:$C$79,2,FALSE),"")</f>
        <v>540</v>
      </c>
      <c r="AC25" s="38">
        <f t="shared" si="6"/>
        <v>12960</v>
      </c>
      <c r="AD25" s="108"/>
      <c r="AE25" s="108"/>
      <c r="AF25" s="40" t="str">
        <f t="shared" si="7"/>
        <v/>
      </c>
      <c r="AG25" s="41" t="str">
        <f t="shared" si="8"/>
        <v/>
      </c>
      <c r="AH25" s="42" t="str">
        <f t="shared" si="9"/>
        <v/>
      </c>
      <c r="AI25" s="43" t="str">
        <f t="shared" si="10"/>
        <v/>
      </c>
      <c r="AJ25" s="44" t="str">
        <f t="shared" si="13"/>
        <v/>
      </c>
      <c r="AK25" s="71"/>
      <c r="AL25" s="54"/>
      <c r="AM25" s="53"/>
      <c r="AN25" s="54"/>
      <c r="AO25" s="43" t="str">
        <f t="shared" si="11"/>
        <v/>
      </c>
      <c r="AP25" s="109"/>
      <c r="AQ25" s="109"/>
      <c r="AR25" s="110" t="s">
        <v>159</v>
      </c>
      <c r="AS25" s="108"/>
      <c r="AT25" s="111"/>
      <c r="AU25" s="109"/>
      <c r="AV25" s="109"/>
      <c r="AW25" s="109"/>
      <c r="AX25" s="109"/>
      <c r="AY25" s="109"/>
    </row>
    <row r="26" ht="24.0" customHeight="1" outlineLevel="1">
      <c r="A26" s="25">
        <v>25.0</v>
      </c>
      <c r="B26" s="26" t="s">
        <v>6</v>
      </c>
      <c r="C26" s="27" t="s">
        <v>296</v>
      </c>
      <c r="D26" s="28" t="s">
        <v>161</v>
      </c>
      <c r="E26" s="30" t="s">
        <v>50</v>
      </c>
      <c r="F26" s="30"/>
      <c r="G26" s="30" t="s">
        <v>247</v>
      </c>
      <c r="H26" s="70" t="s">
        <v>248</v>
      </c>
      <c r="I26" s="30" t="s">
        <v>297</v>
      </c>
      <c r="J26" s="30" t="s">
        <v>290</v>
      </c>
      <c r="K26" s="98">
        <v>46117.0</v>
      </c>
      <c r="L26" s="99">
        <v>46117.0</v>
      </c>
      <c r="M26" s="101">
        <v>25.0</v>
      </c>
      <c r="N26" s="101">
        <v>19.0</v>
      </c>
      <c r="O26" s="100">
        <f t="shared" si="1"/>
        <v>6</v>
      </c>
      <c r="P26" s="101">
        <v>18.0</v>
      </c>
      <c r="Q26" s="100">
        <f t="shared" si="2"/>
        <v>1</v>
      </c>
      <c r="R26" s="101">
        <v>19.0</v>
      </c>
      <c r="S26" s="100">
        <f t="shared" si="3"/>
        <v>0</v>
      </c>
      <c r="T26" s="102">
        <v>46118.0</v>
      </c>
      <c r="U26" s="101" t="s">
        <v>150</v>
      </c>
      <c r="V26" s="36">
        <f t="shared" si="4"/>
        <v>1</v>
      </c>
      <c r="W26" s="36">
        <f t="shared" si="5"/>
        <v>0</v>
      </c>
      <c r="X26" s="101" t="s">
        <v>251</v>
      </c>
      <c r="Y26" s="101" t="s">
        <v>252</v>
      </c>
      <c r="Z26" s="101" t="s">
        <v>298</v>
      </c>
      <c r="AA26" s="101" t="s">
        <v>299</v>
      </c>
      <c r="AB26" s="37">
        <f>IFERROR(VLOOKUP(B26,'Scheme Master'!$B$4:$C$79,2,FALSE),"")</f>
        <v>480</v>
      </c>
      <c r="AC26" s="38">
        <f t="shared" si="6"/>
        <v>9120</v>
      </c>
      <c r="AD26" s="103"/>
      <c r="AE26" s="103"/>
      <c r="AF26" s="40" t="str">
        <f t="shared" si="7"/>
        <v/>
      </c>
      <c r="AG26" s="41" t="str">
        <f t="shared" si="8"/>
        <v/>
      </c>
      <c r="AH26" s="42" t="str">
        <f t="shared" si="9"/>
        <v/>
      </c>
      <c r="AI26" s="43" t="str">
        <f t="shared" si="10"/>
        <v/>
      </c>
      <c r="AJ26" s="44" t="str">
        <f t="shared" si="13"/>
        <v/>
      </c>
      <c r="AK26" s="104"/>
      <c r="AL26" s="65"/>
      <c r="AM26" s="64"/>
      <c r="AN26" s="65"/>
      <c r="AO26" s="43" t="str">
        <f t="shared" si="11"/>
        <v/>
      </c>
      <c r="AP26" s="105"/>
      <c r="AQ26" s="105"/>
      <c r="AR26" s="106" t="s">
        <v>159</v>
      </c>
      <c r="AS26" s="103"/>
      <c r="AT26" s="107"/>
      <c r="AU26" s="105"/>
      <c r="AV26" s="105"/>
      <c r="AW26" s="105"/>
      <c r="AX26" s="105"/>
      <c r="AY26" s="105"/>
    </row>
    <row r="27" ht="24.0" customHeight="1" outlineLevel="1">
      <c r="A27" s="52">
        <v>26.0</v>
      </c>
      <c r="B27" s="26" t="s">
        <v>14</v>
      </c>
      <c r="C27" s="27">
        <v>3583922.0</v>
      </c>
      <c r="D27" s="28" t="s">
        <v>161</v>
      </c>
      <c r="E27" s="30" t="s">
        <v>178</v>
      </c>
      <c r="F27" s="30"/>
      <c r="G27" s="30" t="s">
        <v>300</v>
      </c>
      <c r="H27" s="70" t="s">
        <v>301</v>
      </c>
      <c r="I27" s="30" t="s">
        <v>302</v>
      </c>
      <c r="J27" s="30" t="s">
        <v>303</v>
      </c>
      <c r="K27" s="98">
        <v>46117.0</v>
      </c>
      <c r="L27" s="99">
        <v>46117.0</v>
      </c>
      <c r="M27" s="101">
        <v>15.0</v>
      </c>
      <c r="N27" s="101">
        <v>15.0</v>
      </c>
      <c r="O27" s="101">
        <f t="shared" si="1"/>
        <v>0</v>
      </c>
      <c r="P27" s="101">
        <v>9.0</v>
      </c>
      <c r="Q27" s="101">
        <f t="shared" si="2"/>
        <v>6</v>
      </c>
      <c r="R27" s="101">
        <v>14.0</v>
      </c>
      <c r="S27" s="101">
        <f t="shared" si="3"/>
        <v>1</v>
      </c>
      <c r="T27" s="102">
        <v>46120.0</v>
      </c>
      <c r="U27" s="101" t="s">
        <v>150</v>
      </c>
      <c r="V27" s="36">
        <f t="shared" si="4"/>
        <v>0.9333333333</v>
      </c>
      <c r="W27" s="36">
        <f t="shared" si="5"/>
        <v>0.06666666667</v>
      </c>
      <c r="X27" s="101" t="s">
        <v>304</v>
      </c>
      <c r="Y27" s="101" t="s">
        <v>305</v>
      </c>
      <c r="Z27" s="101" t="s">
        <v>306</v>
      </c>
      <c r="AA27" s="101" t="s">
        <v>307</v>
      </c>
      <c r="AB27" s="37">
        <f>IFERROR(VLOOKUP(B27,'Scheme Master'!$B$4:$C$79,2,FALSE),"")</f>
        <v>720</v>
      </c>
      <c r="AC27" s="38">
        <f t="shared" si="6"/>
        <v>10800</v>
      </c>
      <c r="AD27" s="108"/>
      <c r="AE27" s="108"/>
      <c r="AF27" s="40" t="str">
        <f t="shared" si="7"/>
        <v/>
      </c>
      <c r="AG27" s="41" t="str">
        <f t="shared" si="8"/>
        <v/>
      </c>
      <c r="AH27" s="42" t="str">
        <f t="shared" si="9"/>
        <v/>
      </c>
      <c r="AI27" s="43" t="str">
        <f t="shared" si="10"/>
        <v/>
      </c>
      <c r="AJ27" s="44" t="str">
        <f t="shared" si="13"/>
        <v/>
      </c>
      <c r="AK27" s="71"/>
      <c r="AL27" s="54"/>
      <c r="AM27" s="53"/>
      <c r="AN27" s="54"/>
      <c r="AO27" s="43" t="str">
        <f t="shared" si="11"/>
        <v/>
      </c>
      <c r="AP27" s="109"/>
      <c r="AQ27" s="109"/>
      <c r="AR27" s="110" t="s">
        <v>159</v>
      </c>
      <c r="AS27" s="108"/>
      <c r="AT27" s="111"/>
      <c r="AU27" s="109"/>
      <c r="AV27" s="109"/>
      <c r="AW27" s="109"/>
      <c r="AX27" s="109"/>
      <c r="AY27" s="109"/>
    </row>
    <row r="28" ht="24.0" customHeight="1" outlineLevel="1">
      <c r="A28" s="25">
        <v>27.0</v>
      </c>
      <c r="B28" s="26" t="s">
        <v>13</v>
      </c>
      <c r="C28" s="27">
        <v>3727804.0</v>
      </c>
      <c r="D28" s="28" t="s">
        <v>245</v>
      </c>
      <c r="E28" s="30" t="s">
        <v>178</v>
      </c>
      <c r="F28" s="30"/>
      <c r="G28" s="30" t="s">
        <v>308</v>
      </c>
      <c r="H28" s="70" t="s">
        <v>256</v>
      </c>
      <c r="I28" s="30" t="s">
        <v>257</v>
      </c>
      <c r="J28" s="30" t="s">
        <v>258</v>
      </c>
      <c r="K28" s="32">
        <v>46116.0</v>
      </c>
      <c r="L28" s="33">
        <v>46117.0</v>
      </c>
      <c r="M28" s="101">
        <v>25.0</v>
      </c>
      <c r="N28" s="101">
        <v>24.0</v>
      </c>
      <c r="O28" s="101">
        <f t="shared" si="1"/>
        <v>1</v>
      </c>
      <c r="P28" s="101">
        <v>24.0</v>
      </c>
      <c r="Q28" s="101">
        <f t="shared" si="2"/>
        <v>0</v>
      </c>
      <c r="R28" s="101">
        <v>23.0</v>
      </c>
      <c r="S28" s="101">
        <f t="shared" si="3"/>
        <v>1</v>
      </c>
      <c r="T28" s="102">
        <v>46119.0</v>
      </c>
      <c r="U28" s="101" t="s">
        <v>150</v>
      </c>
      <c r="V28" s="36">
        <f t="shared" si="4"/>
        <v>0.9583333333</v>
      </c>
      <c r="W28" s="36">
        <f t="shared" si="5"/>
        <v>0.04166666667</v>
      </c>
      <c r="X28" s="101" t="s">
        <v>259</v>
      </c>
      <c r="Y28" s="101" t="s">
        <v>260</v>
      </c>
      <c r="Z28" s="101" t="s">
        <v>261</v>
      </c>
      <c r="AA28" s="101" t="s">
        <v>262</v>
      </c>
      <c r="AB28" s="37">
        <f>IFERROR(VLOOKUP(B28,'Scheme Master'!$B$4:$C$79,2,FALSE),"")</f>
        <v>540</v>
      </c>
      <c r="AC28" s="38">
        <f t="shared" si="6"/>
        <v>12960</v>
      </c>
      <c r="AD28" s="103"/>
      <c r="AE28" s="103"/>
      <c r="AF28" s="40" t="str">
        <f t="shared" si="7"/>
        <v/>
      </c>
      <c r="AG28" s="41" t="str">
        <f t="shared" si="8"/>
        <v/>
      </c>
      <c r="AH28" s="42" t="str">
        <f t="shared" si="9"/>
        <v/>
      </c>
      <c r="AI28" s="43" t="str">
        <f t="shared" si="10"/>
        <v/>
      </c>
      <c r="AJ28" s="44" t="str">
        <f t="shared" si="13"/>
        <v/>
      </c>
      <c r="AK28" s="104"/>
      <c r="AL28" s="65"/>
      <c r="AM28" s="64"/>
      <c r="AN28" s="65"/>
      <c r="AO28" s="43" t="str">
        <f t="shared" si="11"/>
        <v/>
      </c>
      <c r="AP28" s="105"/>
      <c r="AQ28" s="105"/>
      <c r="AR28" s="106" t="s">
        <v>159</v>
      </c>
      <c r="AS28" s="103"/>
      <c r="AT28" s="107"/>
      <c r="AU28" s="105"/>
      <c r="AV28" s="105"/>
      <c r="AW28" s="105"/>
      <c r="AX28" s="105"/>
      <c r="AY28" s="105"/>
    </row>
    <row r="29" ht="24.0" customHeight="1" outlineLevel="1">
      <c r="A29" s="97">
        <v>28.0</v>
      </c>
      <c r="B29" s="73" t="s">
        <v>45</v>
      </c>
      <c r="C29" s="74">
        <v>3739641.0</v>
      </c>
      <c r="D29" s="75" t="s">
        <v>188</v>
      </c>
      <c r="E29" s="76" t="s">
        <v>178</v>
      </c>
      <c r="F29" s="76"/>
      <c r="G29" s="76" t="s">
        <v>179</v>
      </c>
      <c r="H29" s="77" t="s">
        <v>309</v>
      </c>
      <c r="I29" s="76" t="s">
        <v>310</v>
      </c>
      <c r="J29" s="76" t="s">
        <v>166</v>
      </c>
      <c r="K29" s="78" t="s">
        <v>206</v>
      </c>
      <c r="L29" s="76" t="s">
        <v>206</v>
      </c>
      <c r="M29" s="112">
        <v>45.0</v>
      </c>
      <c r="N29" s="112"/>
      <c r="O29" s="112" t="str">
        <f t="shared" si="1"/>
        <v/>
      </c>
      <c r="P29" s="112"/>
      <c r="Q29" s="112" t="str">
        <f t="shared" si="2"/>
        <v/>
      </c>
      <c r="R29" s="112"/>
      <c r="S29" s="112" t="str">
        <f t="shared" si="3"/>
        <v/>
      </c>
      <c r="T29" s="113"/>
      <c r="U29" s="112"/>
      <c r="V29" s="83" t="str">
        <f t="shared" si="4"/>
        <v/>
      </c>
      <c r="W29" s="83" t="str">
        <f t="shared" si="5"/>
        <v/>
      </c>
      <c r="X29" s="84"/>
      <c r="Y29" s="84"/>
      <c r="Z29" s="84"/>
      <c r="AA29" s="84"/>
      <c r="AB29" s="37">
        <f>IFERROR(VLOOKUP(B29,'Scheme Master'!$B$4:$C$79,2,FALSE),"")</f>
        <v>360</v>
      </c>
      <c r="AC29" s="85" t="str">
        <f t="shared" si="6"/>
        <v/>
      </c>
      <c r="AD29" s="114"/>
      <c r="AE29" s="114"/>
      <c r="AF29" s="87" t="str">
        <f t="shared" si="7"/>
        <v/>
      </c>
      <c r="AG29" s="88" t="str">
        <f t="shared" si="8"/>
        <v/>
      </c>
      <c r="AH29" s="89" t="str">
        <f t="shared" si="9"/>
        <v/>
      </c>
      <c r="AI29" s="90" t="str">
        <f t="shared" si="10"/>
        <v/>
      </c>
      <c r="AJ29" s="91" t="str">
        <f t="shared" si="13"/>
        <v/>
      </c>
      <c r="AK29" s="92"/>
      <c r="AL29" s="94"/>
      <c r="AM29" s="93"/>
      <c r="AN29" s="94"/>
      <c r="AO29" s="90" t="str">
        <f t="shared" si="11"/>
        <v/>
      </c>
      <c r="AP29" s="115"/>
      <c r="AQ29" s="115"/>
      <c r="AR29" s="115"/>
      <c r="AS29" s="114"/>
      <c r="AT29" s="116"/>
      <c r="AU29" s="115"/>
      <c r="AV29" s="115"/>
      <c r="AW29" s="115"/>
      <c r="AX29" s="115"/>
      <c r="AY29" s="115"/>
    </row>
    <row r="30" ht="24.0" customHeight="1" outlineLevel="1">
      <c r="A30" s="25">
        <v>29.0</v>
      </c>
      <c r="B30" s="26" t="s">
        <v>45</v>
      </c>
      <c r="C30" s="27">
        <v>3739236.0</v>
      </c>
      <c r="D30" s="28" t="s">
        <v>145</v>
      </c>
      <c r="E30" s="30" t="s">
        <v>178</v>
      </c>
      <c r="F30" s="30"/>
      <c r="G30" s="30" t="s">
        <v>179</v>
      </c>
      <c r="H30" s="70" t="s">
        <v>311</v>
      </c>
      <c r="I30" s="30" t="s">
        <v>312</v>
      </c>
      <c r="J30" s="30" t="s">
        <v>313</v>
      </c>
      <c r="K30" s="98">
        <v>46117.0</v>
      </c>
      <c r="L30" s="99">
        <v>46117.0</v>
      </c>
      <c r="M30" s="101">
        <v>12.0</v>
      </c>
      <c r="N30" s="101">
        <v>11.0</v>
      </c>
      <c r="O30" s="101">
        <f t="shared" si="1"/>
        <v>1</v>
      </c>
      <c r="P30" s="101">
        <v>11.0</v>
      </c>
      <c r="Q30" s="101">
        <f t="shared" si="2"/>
        <v>0</v>
      </c>
      <c r="R30" s="101">
        <v>11.0</v>
      </c>
      <c r="S30" s="101">
        <f t="shared" si="3"/>
        <v>0</v>
      </c>
      <c r="T30" s="117">
        <v>46117.0</v>
      </c>
      <c r="U30" s="101" t="s">
        <v>150</v>
      </c>
      <c r="V30" s="36">
        <f t="shared" si="4"/>
        <v>1</v>
      </c>
      <c r="W30" s="36">
        <f t="shared" si="5"/>
        <v>0</v>
      </c>
      <c r="X30" s="101" t="s">
        <v>314</v>
      </c>
      <c r="Y30" s="101" t="s">
        <v>315</v>
      </c>
      <c r="Z30" s="101" t="s">
        <v>316</v>
      </c>
      <c r="AA30" s="57" t="s">
        <v>317</v>
      </c>
      <c r="AB30" s="37">
        <f>IFERROR(VLOOKUP(B30,'Scheme Master'!$B$4:$C$79,2,FALSE),"")</f>
        <v>360</v>
      </c>
      <c r="AC30" s="38">
        <f t="shared" si="6"/>
        <v>3960</v>
      </c>
      <c r="AD30" s="118">
        <v>2000.0</v>
      </c>
      <c r="AE30" s="61">
        <v>1000.0</v>
      </c>
      <c r="AF30" s="40">
        <f t="shared" si="7"/>
        <v>3000</v>
      </c>
      <c r="AG30" s="41">
        <f t="shared" si="8"/>
        <v>960</v>
      </c>
      <c r="AH30" s="42">
        <f t="shared" si="9"/>
        <v>0.7575757576</v>
      </c>
      <c r="AI30" s="43" t="str">
        <f t="shared" si="10"/>
        <v>⚠️ Approval Required</v>
      </c>
      <c r="AJ30" s="44" t="str">
        <f t="shared" si="13"/>
        <v>Expenses exceed 40% of income. Management approval required.</v>
      </c>
      <c r="AK30" s="56" t="s">
        <v>155</v>
      </c>
      <c r="AL30" s="63" t="s">
        <v>156</v>
      </c>
      <c r="AM30" s="119">
        <v>46114.0</v>
      </c>
      <c r="AN30" s="63" t="s">
        <v>157</v>
      </c>
      <c r="AO30" s="43" t="str">
        <f t="shared" si="11"/>
        <v>✅ Approved by Richa Mehta on 04/02/2026</v>
      </c>
      <c r="AP30" s="105"/>
      <c r="AQ30" s="105"/>
      <c r="AR30" s="106" t="s">
        <v>159</v>
      </c>
      <c r="AS30" s="103"/>
      <c r="AT30" s="107"/>
      <c r="AU30" s="105"/>
      <c r="AV30" s="105"/>
      <c r="AW30" s="105"/>
      <c r="AX30" s="105"/>
      <c r="AY30" s="105"/>
    </row>
    <row r="31" ht="24.0" customHeight="1" outlineLevel="1">
      <c r="A31" s="120">
        <f t="shared" ref="A31:A116" si="14">A30+1</f>
        <v>30</v>
      </c>
      <c r="B31" s="26" t="s">
        <v>6</v>
      </c>
      <c r="C31" s="27">
        <v>3708112.0</v>
      </c>
      <c r="D31" s="28" t="s">
        <v>161</v>
      </c>
      <c r="E31" s="30" t="s">
        <v>162</v>
      </c>
      <c r="F31" s="30"/>
      <c r="G31" s="30" t="s">
        <v>282</v>
      </c>
      <c r="H31" s="70" t="s">
        <v>283</v>
      </c>
      <c r="I31" s="30" t="s">
        <v>284</v>
      </c>
      <c r="J31" s="30" t="s">
        <v>285</v>
      </c>
      <c r="K31" s="32">
        <v>46118.0</v>
      </c>
      <c r="L31" s="33">
        <v>46118.0</v>
      </c>
      <c r="M31" s="34">
        <v>44.0</v>
      </c>
      <c r="N31" s="34">
        <v>43.0</v>
      </c>
      <c r="O31" s="121">
        <f t="shared" si="1"/>
        <v>1</v>
      </c>
      <c r="P31" s="34">
        <v>16.0</v>
      </c>
      <c r="Q31" s="121">
        <f t="shared" si="2"/>
        <v>27</v>
      </c>
      <c r="R31" s="34">
        <v>43.0</v>
      </c>
      <c r="S31" s="121">
        <f t="shared" si="3"/>
        <v>0</v>
      </c>
      <c r="T31" s="102">
        <v>46120.0</v>
      </c>
      <c r="U31" s="30" t="s">
        <v>150</v>
      </c>
      <c r="V31" s="36">
        <f t="shared" si="4"/>
        <v>1</v>
      </c>
      <c r="W31" s="36">
        <f t="shared" si="5"/>
        <v>0</v>
      </c>
      <c r="X31" s="30" t="s">
        <v>318</v>
      </c>
      <c r="Y31" s="30" t="s">
        <v>319</v>
      </c>
      <c r="Z31" s="30" t="s">
        <v>320</v>
      </c>
      <c r="AA31" s="30" t="s">
        <v>321</v>
      </c>
      <c r="AB31" s="37">
        <f>IFERROR(VLOOKUP(B31,'Scheme Master'!$B$4:$C$79,2,FALSE),"")</f>
        <v>480</v>
      </c>
      <c r="AC31" s="38">
        <f t="shared" si="6"/>
        <v>20640</v>
      </c>
      <c r="AD31" s="122">
        <v>2000.0</v>
      </c>
      <c r="AE31" s="39">
        <v>1000.0</v>
      </c>
      <c r="AF31" s="40">
        <f t="shared" si="7"/>
        <v>3000</v>
      </c>
      <c r="AG31" s="41">
        <f t="shared" si="8"/>
        <v>17640</v>
      </c>
      <c r="AH31" s="42">
        <f t="shared" si="9"/>
        <v>0.1453488372</v>
      </c>
      <c r="AI31" s="43" t="str">
        <f t="shared" si="10"/>
        <v>✅ Auto-Approved</v>
      </c>
      <c r="AJ31" s="44" t="str">
        <f t="shared" si="13"/>
        <v>Within budget. No approval needed.</v>
      </c>
      <c r="AK31" s="28" t="s">
        <v>155</v>
      </c>
      <c r="AL31" s="45" t="s">
        <v>156</v>
      </c>
      <c r="AM31" s="46">
        <v>46117.0</v>
      </c>
      <c r="AN31" s="45" t="s">
        <v>157</v>
      </c>
      <c r="AO31" s="43" t="str">
        <f t="shared" si="11"/>
        <v>✅ Approved (Auto - Within Budget)</v>
      </c>
      <c r="AP31" s="109"/>
      <c r="AQ31" s="109"/>
      <c r="AR31" s="110" t="s">
        <v>159</v>
      </c>
      <c r="AS31" s="108"/>
      <c r="AT31" s="111"/>
      <c r="AU31" s="109"/>
      <c r="AV31" s="109"/>
      <c r="AW31" s="109"/>
      <c r="AX31" s="109"/>
      <c r="AY31" s="109"/>
    </row>
    <row r="32" ht="24.0" customHeight="1" outlineLevel="1">
      <c r="A32" s="120">
        <f t="shared" si="14"/>
        <v>31</v>
      </c>
      <c r="B32" s="55" t="s">
        <v>11</v>
      </c>
      <c r="C32" s="27" t="s">
        <v>322</v>
      </c>
      <c r="D32" s="56" t="s">
        <v>161</v>
      </c>
      <c r="E32" s="57" t="s">
        <v>189</v>
      </c>
      <c r="F32" s="57"/>
      <c r="G32" s="57" t="s">
        <v>287</v>
      </c>
      <c r="H32" s="31" t="s">
        <v>288</v>
      </c>
      <c r="I32" s="57" t="s">
        <v>289</v>
      </c>
      <c r="J32" s="57" t="s">
        <v>290</v>
      </c>
      <c r="K32" s="32">
        <v>46118.0</v>
      </c>
      <c r="L32" s="33">
        <v>46118.0</v>
      </c>
      <c r="M32" s="60">
        <v>25.0</v>
      </c>
      <c r="N32" s="60">
        <v>23.0</v>
      </c>
      <c r="O32" s="121">
        <f t="shared" si="1"/>
        <v>2</v>
      </c>
      <c r="P32" s="60">
        <v>0.0</v>
      </c>
      <c r="Q32" s="121">
        <f t="shared" si="2"/>
        <v>23</v>
      </c>
      <c r="R32" s="60">
        <v>23.0</v>
      </c>
      <c r="S32" s="121">
        <f t="shared" si="3"/>
        <v>0</v>
      </c>
      <c r="T32" s="102">
        <v>46120.0</v>
      </c>
      <c r="U32" s="57" t="s">
        <v>150</v>
      </c>
      <c r="V32" s="36">
        <f t="shared" si="4"/>
        <v>1</v>
      </c>
      <c r="W32" s="36">
        <f t="shared" si="5"/>
        <v>0</v>
      </c>
      <c r="X32" s="29" t="s">
        <v>291</v>
      </c>
      <c r="Y32" s="29" t="s">
        <v>292</v>
      </c>
      <c r="Z32" s="101" t="s">
        <v>293</v>
      </c>
      <c r="AA32" s="101" t="s">
        <v>294</v>
      </c>
      <c r="AB32" s="37">
        <f>IFERROR(VLOOKUP(B32,'Scheme Master'!$B$4:$C$79,2,FALSE),"")</f>
        <v>540</v>
      </c>
      <c r="AC32" s="38">
        <f t="shared" si="6"/>
        <v>12420</v>
      </c>
      <c r="AD32" s="103"/>
      <c r="AE32" s="61">
        <v>1230.0</v>
      </c>
      <c r="AF32" s="40">
        <f t="shared" si="7"/>
        <v>1230</v>
      </c>
      <c r="AG32" s="41">
        <f t="shared" si="8"/>
        <v>11190</v>
      </c>
      <c r="AH32" s="42">
        <f t="shared" si="9"/>
        <v>0.09903381643</v>
      </c>
      <c r="AI32" s="43" t="str">
        <f t="shared" si="10"/>
        <v>✅ Auto-Approved</v>
      </c>
      <c r="AJ32" s="44" t="str">
        <f t="shared" si="13"/>
        <v>Within budget. No approval needed.</v>
      </c>
      <c r="AK32" s="104"/>
      <c r="AL32" s="65"/>
      <c r="AM32" s="64"/>
      <c r="AN32" s="65"/>
      <c r="AO32" s="43" t="str">
        <f t="shared" si="11"/>
        <v>✅ Approved (Auto - Within Budget)</v>
      </c>
      <c r="AP32" s="105"/>
      <c r="AQ32" s="105"/>
      <c r="AR32" s="106" t="s">
        <v>159</v>
      </c>
      <c r="AS32" s="103"/>
      <c r="AT32" s="107"/>
      <c r="AU32" s="105"/>
      <c r="AV32" s="105"/>
      <c r="AW32" s="105"/>
      <c r="AX32" s="105"/>
      <c r="AY32" s="105"/>
    </row>
    <row r="33" ht="24.0" customHeight="1" outlineLevel="1">
      <c r="A33" s="120">
        <f t="shared" si="14"/>
        <v>32</v>
      </c>
      <c r="B33" s="26" t="s">
        <v>11</v>
      </c>
      <c r="C33" s="27" t="s">
        <v>323</v>
      </c>
      <c r="D33" s="28" t="s">
        <v>161</v>
      </c>
      <c r="E33" s="30" t="s">
        <v>189</v>
      </c>
      <c r="F33" s="30"/>
      <c r="G33" s="30" t="s">
        <v>287</v>
      </c>
      <c r="H33" s="70" t="s">
        <v>288</v>
      </c>
      <c r="I33" s="30" t="s">
        <v>289</v>
      </c>
      <c r="J33" s="30" t="s">
        <v>290</v>
      </c>
      <c r="K33" s="32">
        <v>46118.0</v>
      </c>
      <c r="L33" s="33">
        <v>46118.0</v>
      </c>
      <c r="M33" s="34">
        <v>25.0</v>
      </c>
      <c r="N33" s="34">
        <v>23.0</v>
      </c>
      <c r="O33" s="121">
        <f t="shared" si="1"/>
        <v>2</v>
      </c>
      <c r="P33" s="34">
        <v>0.0</v>
      </c>
      <c r="Q33" s="121">
        <f t="shared" si="2"/>
        <v>23</v>
      </c>
      <c r="R33" s="34">
        <v>23.0</v>
      </c>
      <c r="S33" s="121">
        <f t="shared" si="3"/>
        <v>0</v>
      </c>
      <c r="T33" s="102">
        <v>46120.0</v>
      </c>
      <c r="U33" s="30" t="s">
        <v>150</v>
      </c>
      <c r="V33" s="36">
        <f t="shared" si="4"/>
        <v>1</v>
      </c>
      <c r="W33" s="36">
        <f t="shared" si="5"/>
        <v>0</v>
      </c>
      <c r="X33" s="123" t="s">
        <v>291</v>
      </c>
      <c r="Y33" s="123" t="s">
        <v>292</v>
      </c>
      <c r="Z33" s="101" t="s">
        <v>293</v>
      </c>
      <c r="AA33" s="101" t="s">
        <v>294</v>
      </c>
      <c r="AB33" s="37">
        <f>IFERROR(VLOOKUP(B33,'Scheme Master'!$B$4:$C$79,2,FALSE),"")</f>
        <v>540</v>
      </c>
      <c r="AC33" s="38">
        <f t="shared" si="6"/>
        <v>12420</v>
      </c>
      <c r="AD33" s="108"/>
      <c r="AE33" s="108"/>
      <c r="AF33" s="40" t="str">
        <f t="shared" si="7"/>
        <v/>
      </c>
      <c r="AG33" s="41" t="str">
        <f t="shared" si="8"/>
        <v/>
      </c>
      <c r="AH33" s="42" t="str">
        <f t="shared" si="9"/>
        <v/>
      </c>
      <c r="AI33" s="43" t="str">
        <f t="shared" si="10"/>
        <v/>
      </c>
      <c r="AJ33" s="44" t="str">
        <f t="shared" si="13"/>
        <v/>
      </c>
      <c r="AK33" s="71"/>
      <c r="AL33" s="54"/>
      <c r="AM33" s="53"/>
      <c r="AN33" s="54"/>
      <c r="AO33" s="43" t="str">
        <f t="shared" si="11"/>
        <v/>
      </c>
      <c r="AP33" s="109"/>
      <c r="AQ33" s="109"/>
      <c r="AR33" s="110" t="s">
        <v>159</v>
      </c>
      <c r="AS33" s="108"/>
      <c r="AT33" s="111"/>
      <c r="AU33" s="109"/>
      <c r="AV33" s="109"/>
      <c r="AW33" s="109"/>
      <c r="AX33" s="109"/>
      <c r="AY33" s="109"/>
    </row>
    <row r="34" ht="24.0" customHeight="1" outlineLevel="1">
      <c r="A34" s="120">
        <f t="shared" si="14"/>
        <v>33</v>
      </c>
      <c r="B34" s="55" t="s">
        <v>11</v>
      </c>
      <c r="C34" s="27" t="s">
        <v>324</v>
      </c>
      <c r="D34" s="56" t="s">
        <v>161</v>
      </c>
      <c r="E34" s="57" t="s">
        <v>189</v>
      </c>
      <c r="F34" s="57"/>
      <c r="G34" s="57" t="s">
        <v>325</v>
      </c>
      <c r="H34" s="31" t="s">
        <v>288</v>
      </c>
      <c r="I34" s="57" t="s">
        <v>326</v>
      </c>
      <c r="J34" s="57" t="s">
        <v>250</v>
      </c>
      <c r="K34" s="32">
        <v>46118.0</v>
      </c>
      <c r="L34" s="33">
        <v>46118.0</v>
      </c>
      <c r="M34" s="60">
        <v>25.0</v>
      </c>
      <c r="N34" s="60">
        <v>24.0</v>
      </c>
      <c r="O34" s="121">
        <f t="shared" si="1"/>
        <v>1</v>
      </c>
      <c r="P34" s="60">
        <v>0.0</v>
      </c>
      <c r="Q34" s="121">
        <f t="shared" si="2"/>
        <v>24</v>
      </c>
      <c r="R34" s="60">
        <v>24.0</v>
      </c>
      <c r="S34" s="121">
        <f t="shared" si="3"/>
        <v>0</v>
      </c>
      <c r="T34" s="102">
        <v>46120.0</v>
      </c>
      <c r="U34" s="57" t="s">
        <v>150</v>
      </c>
      <c r="V34" s="36">
        <f t="shared" si="4"/>
        <v>1</v>
      </c>
      <c r="W34" s="36">
        <f t="shared" si="5"/>
        <v>0</v>
      </c>
      <c r="X34" s="57" t="s">
        <v>212</v>
      </c>
      <c r="Y34" s="57" t="s">
        <v>213</v>
      </c>
      <c r="Z34" s="57" t="s">
        <v>327</v>
      </c>
      <c r="AA34" s="57" t="s">
        <v>328</v>
      </c>
      <c r="AB34" s="37">
        <f>IFERROR(VLOOKUP(B34,'Scheme Master'!$B$4:$C$79,2,FALSE),"")</f>
        <v>540</v>
      </c>
      <c r="AC34" s="38">
        <f t="shared" si="6"/>
        <v>12960</v>
      </c>
      <c r="AD34" s="118">
        <v>2000.0</v>
      </c>
      <c r="AE34" s="103"/>
      <c r="AF34" s="40">
        <f t="shared" si="7"/>
        <v>2000</v>
      </c>
      <c r="AG34" s="41">
        <f t="shared" si="8"/>
        <v>10960</v>
      </c>
      <c r="AH34" s="42">
        <f t="shared" si="9"/>
        <v>0.1543209877</v>
      </c>
      <c r="AI34" s="43" t="str">
        <f t="shared" si="10"/>
        <v>✅ Auto-Approved</v>
      </c>
      <c r="AJ34" s="44" t="str">
        <f t="shared" si="13"/>
        <v>Within budget. No approval needed.</v>
      </c>
      <c r="AK34" s="104"/>
      <c r="AL34" s="65"/>
      <c r="AM34" s="64"/>
      <c r="AN34" s="65"/>
      <c r="AO34" s="43" t="str">
        <f t="shared" si="11"/>
        <v>✅ Approved (Auto - Within Budget)</v>
      </c>
      <c r="AP34" s="105"/>
      <c r="AQ34" s="105"/>
      <c r="AR34" s="106" t="s">
        <v>159</v>
      </c>
      <c r="AS34" s="103"/>
      <c r="AT34" s="107"/>
      <c r="AU34" s="105"/>
      <c r="AV34" s="105"/>
      <c r="AW34" s="105"/>
      <c r="AX34" s="105"/>
      <c r="AY34" s="105"/>
    </row>
    <row r="35" ht="24.0" customHeight="1" outlineLevel="1">
      <c r="A35" s="120">
        <f t="shared" si="14"/>
        <v>34</v>
      </c>
      <c r="B35" s="26" t="s">
        <v>11</v>
      </c>
      <c r="C35" s="27" t="s">
        <v>329</v>
      </c>
      <c r="D35" s="28" t="s">
        <v>161</v>
      </c>
      <c r="E35" s="57" t="s">
        <v>189</v>
      </c>
      <c r="F35" s="30"/>
      <c r="G35" s="30" t="s">
        <v>325</v>
      </c>
      <c r="H35" s="70" t="s">
        <v>288</v>
      </c>
      <c r="I35" s="30" t="s">
        <v>326</v>
      </c>
      <c r="J35" s="30" t="s">
        <v>250</v>
      </c>
      <c r="K35" s="32">
        <v>46118.0</v>
      </c>
      <c r="L35" s="33">
        <v>46118.0</v>
      </c>
      <c r="M35" s="34">
        <v>25.0</v>
      </c>
      <c r="N35" s="34">
        <v>22.0</v>
      </c>
      <c r="O35" s="121">
        <f t="shared" si="1"/>
        <v>3</v>
      </c>
      <c r="P35" s="34">
        <v>0.0</v>
      </c>
      <c r="Q35" s="121">
        <f t="shared" si="2"/>
        <v>22</v>
      </c>
      <c r="R35" s="34">
        <v>22.0</v>
      </c>
      <c r="S35" s="121">
        <f t="shared" si="3"/>
        <v>0</v>
      </c>
      <c r="T35" s="102">
        <v>46120.0</v>
      </c>
      <c r="U35" s="30" t="s">
        <v>150</v>
      </c>
      <c r="V35" s="36">
        <f t="shared" si="4"/>
        <v>1</v>
      </c>
      <c r="W35" s="36">
        <f t="shared" si="5"/>
        <v>0</v>
      </c>
      <c r="X35" s="30" t="s">
        <v>212</v>
      </c>
      <c r="Y35" s="30" t="s">
        <v>213</v>
      </c>
      <c r="Z35" s="57" t="s">
        <v>327</v>
      </c>
      <c r="AA35" s="57" t="s">
        <v>328</v>
      </c>
      <c r="AB35" s="37">
        <f>IFERROR(VLOOKUP(B35,'Scheme Master'!$B$4:$C$79,2,FALSE),"")</f>
        <v>540</v>
      </c>
      <c r="AC35" s="38">
        <f t="shared" si="6"/>
        <v>11880</v>
      </c>
      <c r="AD35" s="122">
        <v>2000.0</v>
      </c>
      <c r="AE35" s="108"/>
      <c r="AF35" s="40">
        <f t="shared" si="7"/>
        <v>2000</v>
      </c>
      <c r="AG35" s="41">
        <f t="shared" si="8"/>
        <v>9880</v>
      </c>
      <c r="AH35" s="42">
        <f t="shared" si="9"/>
        <v>0.1683501684</v>
      </c>
      <c r="AI35" s="43" t="str">
        <f t="shared" si="10"/>
        <v>✅ Auto-Approved</v>
      </c>
      <c r="AJ35" s="44" t="str">
        <f t="shared" si="13"/>
        <v>Within budget. No approval needed.</v>
      </c>
      <c r="AK35" s="71"/>
      <c r="AL35" s="54"/>
      <c r="AM35" s="53"/>
      <c r="AN35" s="54"/>
      <c r="AO35" s="43" t="str">
        <f t="shared" si="11"/>
        <v>✅ Approved (Auto - Within Budget)</v>
      </c>
      <c r="AP35" s="109"/>
      <c r="AQ35" s="109"/>
      <c r="AR35" s="110" t="s">
        <v>159</v>
      </c>
      <c r="AS35" s="108"/>
      <c r="AT35" s="111"/>
      <c r="AU35" s="109"/>
      <c r="AV35" s="109"/>
      <c r="AW35" s="109"/>
      <c r="AX35" s="109"/>
      <c r="AY35" s="109"/>
    </row>
    <row r="36" ht="24.0" customHeight="1" outlineLevel="1">
      <c r="A36" s="120">
        <f t="shared" si="14"/>
        <v>35</v>
      </c>
      <c r="B36" s="55" t="s">
        <v>45</v>
      </c>
      <c r="C36" s="27">
        <v>3757304.0</v>
      </c>
      <c r="D36" s="56" t="s">
        <v>188</v>
      </c>
      <c r="E36" s="57" t="s">
        <v>189</v>
      </c>
      <c r="F36" s="57"/>
      <c r="G36" s="57" t="s">
        <v>330</v>
      </c>
      <c r="H36" s="31" t="s">
        <v>331</v>
      </c>
      <c r="I36" s="57" t="s">
        <v>332</v>
      </c>
      <c r="J36" s="57" t="s">
        <v>333</v>
      </c>
      <c r="K36" s="58">
        <v>46118.0</v>
      </c>
      <c r="L36" s="59">
        <v>46118.0</v>
      </c>
      <c r="M36" s="60">
        <v>39.0</v>
      </c>
      <c r="N36" s="60">
        <v>26.0</v>
      </c>
      <c r="O36" s="121">
        <f t="shared" si="1"/>
        <v>13</v>
      </c>
      <c r="P36" s="60">
        <v>23.0</v>
      </c>
      <c r="Q36" s="121">
        <f t="shared" si="2"/>
        <v>3</v>
      </c>
      <c r="R36" s="60">
        <v>26.0</v>
      </c>
      <c r="S36" s="121">
        <f t="shared" si="3"/>
        <v>0</v>
      </c>
      <c r="T36" s="59">
        <v>46118.0</v>
      </c>
      <c r="U36" s="57" t="s">
        <v>150</v>
      </c>
      <c r="V36" s="36">
        <f t="shared" si="4"/>
        <v>1</v>
      </c>
      <c r="W36" s="36">
        <f t="shared" si="5"/>
        <v>0</v>
      </c>
      <c r="X36" s="57" t="s">
        <v>334</v>
      </c>
      <c r="Y36" s="57" t="s">
        <v>335</v>
      </c>
      <c r="Z36" s="57" t="s">
        <v>334</v>
      </c>
      <c r="AA36" s="57" t="s">
        <v>336</v>
      </c>
      <c r="AB36" s="37">
        <f>IFERROR(VLOOKUP(B36,'Scheme Master'!$B$4:$C$79,2,FALSE),"")</f>
        <v>360</v>
      </c>
      <c r="AC36" s="38">
        <f t="shared" si="6"/>
        <v>9360</v>
      </c>
      <c r="AD36" s="118">
        <v>2000.0</v>
      </c>
      <c r="AE36" s="103"/>
      <c r="AF36" s="40">
        <f t="shared" si="7"/>
        <v>2000</v>
      </c>
      <c r="AG36" s="41">
        <f t="shared" si="8"/>
        <v>7360</v>
      </c>
      <c r="AH36" s="42">
        <f t="shared" si="9"/>
        <v>0.2136752137</v>
      </c>
      <c r="AI36" s="43" t="str">
        <f t="shared" si="10"/>
        <v>✅ Auto-Approved</v>
      </c>
      <c r="AJ36" s="44" t="str">
        <f t="shared" si="13"/>
        <v>Within budget. No approval needed.</v>
      </c>
      <c r="AK36" s="104"/>
      <c r="AL36" s="65"/>
      <c r="AM36" s="64"/>
      <c r="AN36" s="65"/>
      <c r="AO36" s="43" t="str">
        <f t="shared" si="11"/>
        <v>✅ Approved (Auto - Within Budget)</v>
      </c>
      <c r="AP36" s="105"/>
      <c r="AQ36" s="105"/>
      <c r="AR36" s="106" t="s">
        <v>159</v>
      </c>
      <c r="AS36" s="103"/>
      <c r="AT36" s="107"/>
      <c r="AU36" s="105"/>
      <c r="AV36" s="105"/>
      <c r="AW36" s="105"/>
      <c r="AX36" s="105"/>
      <c r="AY36" s="105"/>
    </row>
    <row r="37" ht="24.0" customHeight="1" outlineLevel="1">
      <c r="A37" s="120">
        <f t="shared" si="14"/>
        <v>36</v>
      </c>
      <c r="B37" s="73" t="s">
        <v>45</v>
      </c>
      <c r="C37" s="74">
        <v>3744204.0</v>
      </c>
      <c r="D37" s="75" t="s">
        <v>145</v>
      </c>
      <c r="E37" s="76" t="s">
        <v>178</v>
      </c>
      <c r="F37" s="76"/>
      <c r="G37" s="76" t="s">
        <v>179</v>
      </c>
      <c r="H37" s="77" t="s">
        <v>331</v>
      </c>
      <c r="I37" s="76" t="s">
        <v>337</v>
      </c>
      <c r="J37" s="76" t="s">
        <v>333</v>
      </c>
      <c r="K37" s="78" t="s">
        <v>206</v>
      </c>
      <c r="L37" s="76" t="s">
        <v>206</v>
      </c>
      <c r="M37" s="79">
        <v>37.0</v>
      </c>
      <c r="N37" s="80"/>
      <c r="O37" s="80" t="str">
        <f t="shared" si="1"/>
        <v/>
      </c>
      <c r="P37" s="80"/>
      <c r="Q37" s="80" t="str">
        <f t="shared" si="2"/>
        <v/>
      </c>
      <c r="R37" s="80"/>
      <c r="S37" s="80" t="str">
        <f t="shared" si="3"/>
        <v/>
      </c>
      <c r="T37" s="82"/>
      <c r="U37" s="84"/>
      <c r="V37" s="83" t="str">
        <f t="shared" si="4"/>
        <v/>
      </c>
      <c r="W37" s="83" t="str">
        <f t="shared" si="5"/>
        <v/>
      </c>
      <c r="X37" s="76" t="s">
        <v>338</v>
      </c>
      <c r="Y37" s="76" t="s">
        <v>339</v>
      </c>
      <c r="Z37" s="84"/>
      <c r="AA37" s="84"/>
      <c r="AB37" s="37">
        <f>IFERROR(VLOOKUP(B37,'Scheme Master'!$B$4:$C$79,2,FALSE),"")</f>
        <v>360</v>
      </c>
      <c r="AC37" s="85" t="str">
        <f t="shared" si="6"/>
        <v/>
      </c>
      <c r="AD37" s="114"/>
      <c r="AE37" s="114"/>
      <c r="AF37" s="87" t="str">
        <f t="shared" si="7"/>
        <v/>
      </c>
      <c r="AG37" s="88" t="str">
        <f t="shared" si="8"/>
        <v/>
      </c>
      <c r="AH37" s="89" t="str">
        <f t="shared" si="9"/>
        <v/>
      </c>
      <c r="AI37" s="90" t="str">
        <f t="shared" si="10"/>
        <v/>
      </c>
      <c r="AJ37" s="91" t="str">
        <f t="shared" si="13"/>
        <v/>
      </c>
      <c r="AK37" s="92"/>
      <c r="AL37" s="94"/>
      <c r="AM37" s="93"/>
      <c r="AN37" s="94"/>
      <c r="AO37" s="90" t="str">
        <f t="shared" si="11"/>
        <v/>
      </c>
      <c r="AP37" s="115"/>
      <c r="AQ37" s="115"/>
      <c r="AR37" s="115"/>
      <c r="AS37" s="114"/>
      <c r="AT37" s="116"/>
      <c r="AU37" s="115"/>
      <c r="AV37" s="115"/>
      <c r="AW37" s="115"/>
      <c r="AX37" s="115"/>
      <c r="AY37" s="115"/>
    </row>
    <row r="38" ht="24.0" customHeight="1" outlineLevel="1">
      <c r="A38" s="120">
        <f t="shared" si="14"/>
        <v>37</v>
      </c>
      <c r="B38" s="73" t="s">
        <v>45</v>
      </c>
      <c r="C38" s="74">
        <v>3739384.0</v>
      </c>
      <c r="D38" s="75" t="s">
        <v>188</v>
      </c>
      <c r="E38" s="76" t="s">
        <v>178</v>
      </c>
      <c r="F38" s="76"/>
      <c r="G38" s="76" t="s">
        <v>179</v>
      </c>
      <c r="H38" s="77" t="s">
        <v>203</v>
      </c>
      <c r="I38" s="76" t="s">
        <v>204</v>
      </c>
      <c r="J38" s="76" t="s">
        <v>182</v>
      </c>
      <c r="K38" s="78" t="s">
        <v>206</v>
      </c>
      <c r="L38" s="76" t="s">
        <v>206</v>
      </c>
      <c r="M38" s="79">
        <v>41.0</v>
      </c>
      <c r="N38" s="80"/>
      <c r="O38" s="80" t="str">
        <f t="shared" si="1"/>
        <v/>
      </c>
      <c r="P38" s="80"/>
      <c r="Q38" s="80" t="str">
        <f t="shared" si="2"/>
        <v/>
      </c>
      <c r="R38" s="80"/>
      <c r="S38" s="80" t="str">
        <f t="shared" si="3"/>
        <v/>
      </c>
      <c r="T38" s="82"/>
      <c r="U38" s="84"/>
      <c r="V38" s="83" t="str">
        <f t="shared" si="4"/>
        <v/>
      </c>
      <c r="W38" s="83" t="str">
        <f t="shared" si="5"/>
        <v/>
      </c>
      <c r="X38" s="76" t="s">
        <v>340</v>
      </c>
      <c r="Y38" s="76" t="s">
        <v>341</v>
      </c>
      <c r="Z38" s="84"/>
      <c r="AA38" s="84"/>
      <c r="AB38" s="124">
        <f>IFERROR(VLOOKUP(B38,'Scheme Master'!$B$4:$C$79,2,FALSE),"")</f>
        <v>360</v>
      </c>
      <c r="AC38" s="85" t="str">
        <f t="shared" si="6"/>
        <v/>
      </c>
      <c r="AD38" s="114"/>
      <c r="AE38" s="114"/>
      <c r="AF38" s="87" t="str">
        <f t="shared" si="7"/>
        <v/>
      </c>
      <c r="AG38" s="88" t="str">
        <f t="shared" si="8"/>
        <v/>
      </c>
      <c r="AH38" s="89" t="str">
        <f t="shared" si="9"/>
        <v/>
      </c>
      <c r="AI38" s="90" t="str">
        <f t="shared" si="10"/>
        <v/>
      </c>
      <c r="AJ38" s="91" t="str">
        <f t="shared" si="13"/>
        <v/>
      </c>
      <c r="AK38" s="92"/>
      <c r="AL38" s="94"/>
      <c r="AM38" s="93"/>
      <c r="AN38" s="94"/>
      <c r="AO38" s="90" t="str">
        <f t="shared" si="11"/>
        <v/>
      </c>
      <c r="AP38" s="115"/>
      <c r="AQ38" s="115"/>
      <c r="AR38" s="115"/>
      <c r="AS38" s="114"/>
      <c r="AT38" s="116"/>
      <c r="AU38" s="115"/>
      <c r="AV38" s="115"/>
      <c r="AW38" s="115"/>
      <c r="AX38" s="115"/>
      <c r="AY38" s="115"/>
    </row>
    <row r="39" ht="24.0" customHeight="1" outlineLevel="1">
      <c r="A39" s="125">
        <f t="shared" si="14"/>
        <v>38</v>
      </c>
      <c r="B39" s="126" t="s">
        <v>45</v>
      </c>
      <c r="C39" s="127">
        <v>3758294.0</v>
      </c>
      <c r="D39" s="128" t="s">
        <v>188</v>
      </c>
      <c r="E39" s="129" t="s">
        <v>189</v>
      </c>
      <c r="F39" s="129"/>
      <c r="G39" s="129" t="s">
        <v>197</v>
      </c>
      <c r="H39" s="130" t="s">
        <v>342</v>
      </c>
      <c r="I39" s="129" t="s">
        <v>343</v>
      </c>
      <c r="J39" s="129" t="s">
        <v>193</v>
      </c>
      <c r="K39" s="131" t="s">
        <v>344</v>
      </c>
      <c r="L39" s="129" t="s">
        <v>345</v>
      </c>
      <c r="M39" s="132">
        <v>5.0</v>
      </c>
      <c r="N39" s="133"/>
      <c r="O39" s="133" t="str">
        <f t="shared" si="1"/>
        <v/>
      </c>
      <c r="P39" s="133"/>
      <c r="Q39" s="133" t="str">
        <f t="shared" si="2"/>
        <v/>
      </c>
      <c r="R39" s="133"/>
      <c r="S39" s="133" t="str">
        <f t="shared" si="3"/>
        <v/>
      </c>
      <c r="T39" s="134"/>
      <c r="U39" s="135"/>
      <c r="V39" s="136" t="str">
        <f t="shared" si="4"/>
        <v/>
      </c>
      <c r="W39" s="136" t="str">
        <f t="shared" si="5"/>
        <v/>
      </c>
      <c r="X39" s="135"/>
      <c r="Y39" s="135"/>
      <c r="Z39" s="135"/>
      <c r="AA39" s="135"/>
      <c r="AB39" s="137">
        <f>IFERROR(VLOOKUP(B39,'Scheme Master'!$B$4:$C$79,2,FALSE),"")</f>
        <v>360</v>
      </c>
      <c r="AC39" s="138" t="str">
        <f t="shared" si="6"/>
        <v/>
      </c>
      <c r="AD39" s="139"/>
      <c r="AE39" s="139"/>
      <c r="AF39" s="140" t="str">
        <f t="shared" si="7"/>
        <v/>
      </c>
      <c r="AG39" s="141" t="str">
        <f t="shared" si="8"/>
        <v/>
      </c>
      <c r="AH39" s="142" t="str">
        <f t="shared" si="9"/>
        <v/>
      </c>
      <c r="AI39" s="143" t="str">
        <f t="shared" si="10"/>
        <v/>
      </c>
      <c r="AJ39" s="144" t="str">
        <f t="shared" si="13"/>
        <v/>
      </c>
      <c r="AK39" s="145"/>
      <c r="AL39" s="146"/>
      <c r="AM39" s="147"/>
      <c r="AN39" s="146"/>
      <c r="AO39" s="143" t="str">
        <f t="shared" si="11"/>
        <v/>
      </c>
      <c r="AP39" s="148"/>
      <c r="AQ39" s="148"/>
      <c r="AR39" s="148"/>
      <c r="AS39" s="139"/>
      <c r="AT39" s="149"/>
      <c r="AU39" s="148"/>
      <c r="AV39" s="148"/>
      <c r="AW39" s="148"/>
      <c r="AX39" s="148"/>
      <c r="AY39" s="148"/>
    </row>
    <row r="40" ht="24.0" customHeight="1" outlineLevel="1">
      <c r="A40" s="120">
        <f t="shared" si="14"/>
        <v>39</v>
      </c>
      <c r="B40" s="55" t="s">
        <v>34</v>
      </c>
      <c r="C40" s="27">
        <v>3733913.0</v>
      </c>
      <c r="D40" s="56" t="s">
        <v>161</v>
      </c>
      <c r="E40" s="57" t="s">
        <v>162</v>
      </c>
      <c r="F40" s="57"/>
      <c r="G40" s="57" t="s">
        <v>346</v>
      </c>
      <c r="H40" s="31" t="s">
        <v>347</v>
      </c>
      <c r="I40" s="57" t="s">
        <v>348</v>
      </c>
      <c r="J40" s="57" t="s">
        <v>349</v>
      </c>
      <c r="K40" s="58">
        <v>46119.0</v>
      </c>
      <c r="L40" s="59">
        <v>46119.0</v>
      </c>
      <c r="M40" s="60">
        <v>35.0</v>
      </c>
      <c r="N40" s="60">
        <v>24.0</v>
      </c>
      <c r="O40" s="121">
        <f t="shared" si="1"/>
        <v>11</v>
      </c>
      <c r="P40" s="60">
        <v>24.0</v>
      </c>
      <c r="Q40" s="121">
        <f t="shared" si="2"/>
        <v>0</v>
      </c>
      <c r="R40" s="60">
        <v>24.0</v>
      </c>
      <c r="S40" s="121">
        <f t="shared" si="3"/>
        <v>0</v>
      </c>
      <c r="T40" s="59">
        <v>46120.0</v>
      </c>
      <c r="U40" s="57" t="s">
        <v>150</v>
      </c>
      <c r="V40" s="36">
        <f t="shared" si="4"/>
        <v>1</v>
      </c>
      <c r="W40" s="36">
        <f t="shared" si="5"/>
        <v>0</v>
      </c>
      <c r="X40" s="57" t="s">
        <v>350</v>
      </c>
      <c r="Y40" s="57" t="s">
        <v>351</v>
      </c>
      <c r="Z40" s="57" t="s">
        <v>352</v>
      </c>
      <c r="AA40" s="57" t="s">
        <v>353</v>
      </c>
      <c r="AB40" s="37">
        <f>IFERROR(VLOOKUP(B40,'Scheme Master'!$B$4:$C$79,2,FALSE),"")</f>
        <v>200</v>
      </c>
      <c r="AC40" s="38">
        <f t="shared" si="6"/>
        <v>4800</v>
      </c>
      <c r="AD40" s="118"/>
      <c r="AE40" s="118"/>
      <c r="AF40" s="40" t="str">
        <f t="shared" si="7"/>
        <v/>
      </c>
      <c r="AG40" s="41" t="str">
        <f t="shared" si="8"/>
        <v/>
      </c>
      <c r="AH40" s="42" t="str">
        <f t="shared" si="9"/>
        <v/>
      </c>
      <c r="AI40" s="43" t="str">
        <f t="shared" si="10"/>
        <v/>
      </c>
      <c r="AJ40" s="44" t="str">
        <f t="shared" si="13"/>
        <v/>
      </c>
      <c r="AK40" s="104"/>
      <c r="AL40" s="65"/>
      <c r="AM40" s="64"/>
      <c r="AN40" s="65"/>
      <c r="AO40" s="43" t="str">
        <f t="shared" si="11"/>
        <v/>
      </c>
      <c r="AP40" s="105"/>
      <c r="AQ40" s="105"/>
      <c r="AR40" s="106" t="s">
        <v>159</v>
      </c>
      <c r="AS40" s="103"/>
      <c r="AT40" s="107"/>
      <c r="AU40" s="105"/>
      <c r="AV40" s="105"/>
      <c r="AW40" s="105"/>
      <c r="AX40" s="105"/>
      <c r="AY40" s="105"/>
    </row>
    <row r="41" ht="24.0" customHeight="1" outlineLevel="1">
      <c r="A41" s="120">
        <f t="shared" si="14"/>
        <v>40</v>
      </c>
      <c r="B41" s="26" t="s">
        <v>16</v>
      </c>
      <c r="C41" s="27">
        <v>3598642.0</v>
      </c>
      <c r="D41" s="28" t="s">
        <v>161</v>
      </c>
      <c r="E41" s="30" t="s">
        <v>162</v>
      </c>
      <c r="F41" s="30"/>
      <c r="G41" s="30" t="s">
        <v>354</v>
      </c>
      <c r="H41" s="70" t="s">
        <v>355</v>
      </c>
      <c r="I41" s="30" t="s">
        <v>356</v>
      </c>
      <c r="J41" s="30" t="s">
        <v>265</v>
      </c>
      <c r="K41" s="58">
        <v>46119.0</v>
      </c>
      <c r="L41" s="59">
        <v>46119.0</v>
      </c>
      <c r="M41" s="34">
        <v>30.0</v>
      </c>
      <c r="N41" s="34">
        <v>30.0</v>
      </c>
      <c r="O41" s="121">
        <f t="shared" si="1"/>
        <v>0</v>
      </c>
      <c r="P41" s="34">
        <v>21.0</v>
      </c>
      <c r="Q41" s="121">
        <f t="shared" si="2"/>
        <v>9</v>
      </c>
      <c r="R41" s="34">
        <v>30.0</v>
      </c>
      <c r="S41" s="121">
        <f t="shared" si="3"/>
        <v>0</v>
      </c>
      <c r="T41" s="33">
        <v>46121.0</v>
      </c>
      <c r="U41" s="57" t="s">
        <v>150</v>
      </c>
      <c r="V41" s="36">
        <f t="shared" si="4"/>
        <v>1</v>
      </c>
      <c r="W41" s="36">
        <f t="shared" si="5"/>
        <v>0</v>
      </c>
      <c r="X41" s="30" t="s">
        <v>212</v>
      </c>
      <c r="Y41" s="30" t="s">
        <v>213</v>
      </c>
      <c r="Z41" s="30" t="s">
        <v>357</v>
      </c>
      <c r="AA41" s="30" t="s">
        <v>358</v>
      </c>
      <c r="AB41" s="37">
        <f>IFERROR(VLOOKUP(B41,'Scheme Master'!$B$4:$C$79,2,FALSE),"")</f>
        <v>400</v>
      </c>
      <c r="AC41" s="38">
        <f t="shared" si="6"/>
        <v>12000</v>
      </c>
      <c r="AD41" s="122">
        <v>2000.0</v>
      </c>
      <c r="AE41" s="122">
        <v>2000.0</v>
      </c>
      <c r="AF41" s="40">
        <f t="shared" si="7"/>
        <v>4000</v>
      </c>
      <c r="AG41" s="41">
        <f t="shared" si="8"/>
        <v>8000</v>
      </c>
      <c r="AH41" s="42">
        <f t="shared" si="9"/>
        <v>0.3333333333</v>
      </c>
      <c r="AI41" s="43" t="str">
        <f t="shared" si="10"/>
        <v>✅ Auto-Approved</v>
      </c>
      <c r="AJ41" s="44" t="str">
        <f t="shared" si="13"/>
        <v>Within budget. No approval needed.</v>
      </c>
      <c r="AK41" s="71"/>
      <c r="AL41" s="54"/>
      <c r="AM41" s="53"/>
      <c r="AN41" s="54"/>
      <c r="AO41" s="43" t="str">
        <f t="shared" si="11"/>
        <v>✅ Approved (Auto - Within Budget)</v>
      </c>
      <c r="AP41" s="109"/>
      <c r="AQ41" s="109"/>
      <c r="AR41" s="110" t="s">
        <v>159</v>
      </c>
      <c r="AS41" s="108"/>
      <c r="AT41" s="111"/>
      <c r="AU41" s="109"/>
      <c r="AV41" s="109"/>
      <c r="AW41" s="109"/>
      <c r="AX41" s="109"/>
      <c r="AY41" s="109"/>
    </row>
    <row r="42" ht="24.0" customHeight="1" outlineLevel="1">
      <c r="A42" s="120">
        <f t="shared" si="14"/>
        <v>41</v>
      </c>
      <c r="B42" s="55" t="s">
        <v>11</v>
      </c>
      <c r="C42" s="27" t="s">
        <v>359</v>
      </c>
      <c r="D42" s="56" t="s">
        <v>161</v>
      </c>
      <c r="E42" s="57" t="s">
        <v>189</v>
      </c>
      <c r="F42" s="57"/>
      <c r="G42" s="57" t="s">
        <v>287</v>
      </c>
      <c r="H42" s="31" t="s">
        <v>288</v>
      </c>
      <c r="I42" s="57" t="s">
        <v>289</v>
      </c>
      <c r="J42" s="57" t="s">
        <v>250</v>
      </c>
      <c r="K42" s="58">
        <v>46119.0</v>
      </c>
      <c r="L42" s="59">
        <v>46119.0</v>
      </c>
      <c r="M42" s="60">
        <v>25.0</v>
      </c>
      <c r="N42" s="60">
        <v>25.0</v>
      </c>
      <c r="O42" s="121">
        <f t="shared" si="1"/>
        <v>0</v>
      </c>
      <c r="P42" s="60">
        <v>0.0</v>
      </c>
      <c r="Q42" s="121">
        <f t="shared" si="2"/>
        <v>25</v>
      </c>
      <c r="R42" s="60">
        <v>25.0</v>
      </c>
      <c r="S42" s="121">
        <f t="shared" si="3"/>
        <v>0</v>
      </c>
      <c r="T42" s="102">
        <v>46120.0</v>
      </c>
      <c r="U42" s="57" t="s">
        <v>150</v>
      </c>
      <c r="V42" s="36">
        <f t="shared" si="4"/>
        <v>1</v>
      </c>
      <c r="W42" s="36">
        <f t="shared" si="5"/>
        <v>0</v>
      </c>
      <c r="X42" s="57" t="s">
        <v>291</v>
      </c>
      <c r="Y42" s="57" t="s">
        <v>292</v>
      </c>
      <c r="Z42" s="101" t="s">
        <v>293</v>
      </c>
      <c r="AA42" s="101" t="s">
        <v>294</v>
      </c>
      <c r="AB42" s="37">
        <f>IFERROR(VLOOKUP(B42,'Scheme Master'!$B$4:$C$79,2,FALSE),"")</f>
        <v>540</v>
      </c>
      <c r="AC42" s="38">
        <f t="shared" si="6"/>
        <v>13500</v>
      </c>
      <c r="AD42" s="103"/>
      <c r="AE42" s="103"/>
      <c r="AF42" s="40" t="str">
        <f t="shared" si="7"/>
        <v/>
      </c>
      <c r="AG42" s="41" t="str">
        <f t="shared" si="8"/>
        <v/>
      </c>
      <c r="AH42" s="42" t="str">
        <f t="shared" si="9"/>
        <v/>
      </c>
      <c r="AI42" s="43" t="str">
        <f t="shared" si="10"/>
        <v/>
      </c>
      <c r="AJ42" s="44" t="str">
        <f t="shared" si="13"/>
        <v/>
      </c>
      <c r="AK42" s="104"/>
      <c r="AL42" s="65"/>
      <c r="AM42" s="64"/>
      <c r="AN42" s="65"/>
      <c r="AO42" s="43" t="str">
        <f t="shared" si="11"/>
        <v/>
      </c>
      <c r="AP42" s="105"/>
      <c r="AQ42" s="105"/>
      <c r="AR42" s="106" t="s">
        <v>159</v>
      </c>
      <c r="AS42" s="103"/>
      <c r="AT42" s="107"/>
      <c r="AU42" s="105"/>
      <c r="AV42" s="105"/>
      <c r="AW42" s="105"/>
      <c r="AX42" s="105"/>
      <c r="AY42" s="105"/>
    </row>
    <row r="43" ht="24.0" customHeight="1" outlineLevel="1">
      <c r="A43" s="120">
        <f t="shared" si="14"/>
        <v>42</v>
      </c>
      <c r="B43" s="26" t="s">
        <v>11</v>
      </c>
      <c r="C43" s="27" t="s">
        <v>360</v>
      </c>
      <c r="D43" s="28" t="s">
        <v>161</v>
      </c>
      <c r="E43" s="30" t="s">
        <v>189</v>
      </c>
      <c r="F43" s="30"/>
      <c r="G43" s="30" t="s">
        <v>287</v>
      </c>
      <c r="H43" s="70" t="s">
        <v>288</v>
      </c>
      <c r="I43" s="30" t="s">
        <v>289</v>
      </c>
      <c r="J43" s="30" t="s">
        <v>250</v>
      </c>
      <c r="K43" s="58">
        <v>46119.0</v>
      </c>
      <c r="L43" s="59">
        <v>46119.0</v>
      </c>
      <c r="M43" s="34">
        <v>25.0</v>
      </c>
      <c r="N43" s="34">
        <v>22.0</v>
      </c>
      <c r="O43" s="121">
        <f t="shared" si="1"/>
        <v>3</v>
      </c>
      <c r="P43" s="34">
        <v>0.0</v>
      </c>
      <c r="Q43" s="121">
        <f t="shared" si="2"/>
        <v>22</v>
      </c>
      <c r="R43" s="34">
        <v>22.0</v>
      </c>
      <c r="S43" s="121">
        <f t="shared" si="3"/>
        <v>0</v>
      </c>
      <c r="T43" s="102">
        <v>46120.0</v>
      </c>
      <c r="U43" s="30" t="s">
        <v>150</v>
      </c>
      <c r="V43" s="36">
        <f t="shared" si="4"/>
        <v>1</v>
      </c>
      <c r="W43" s="36">
        <f t="shared" si="5"/>
        <v>0</v>
      </c>
      <c r="X43" s="30" t="s">
        <v>291</v>
      </c>
      <c r="Y43" s="30" t="s">
        <v>292</v>
      </c>
      <c r="Z43" s="101" t="s">
        <v>293</v>
      </c>
      <c r="AA43" s="101" t="s">
        <v>294</v>
      </c>
      <c r="AB43" s="37">
        <f>IFERROR(VLOOKUP(B43,'Scheme Master'!$B$4:$C$79,2,FALSE),"")</f>
        <v>540</v>
      </c>
      <c r="AC43" s="38">
        <f t="shared" si="6"/>
        <v>11880</v>
      </c>
      <c r="AD43" s="108"/>
      <c r="AE43" s="122">
        <v>1230.0</v>
      </c>
      <c r="AF43" s="40">
        <f t="shared" si="7"/>
        <v>1230</v>
      </c>
      <c r="AG43" s="41">
        <f t="shared" si="8"/>
        <v>10650</v>
      </c>
      <c r="AH43" s="42">
        <f t="shared" si="9"/>
        <v>0.1035353535</v>
      </c>
      <c r="AI43" s="43" t="str">
        <f t="shared" si="10"/>
        <v>✅ Auto-Approved</v>
      </c>
      <c r="AJ43" s="44" t="str">
        <f t="shared" si="13"/>
        <v>Within budget. No approval needed.</v>
      </c>
      <c r="AK43" s="71"/>
      <c r="AL43" s="54"/>
      <c r="AM43" s="53"/>
      <c r="AN43" s="54"/>
      <c r="AO43" s="43" t="str">
        <f t="shared" si="11"/>
        <v>✅ Approved (Auto - Within Budget)</v>
      </c>
      <c r="AP43" s="109"/>
      <c r="AQ43" s="109"/>
      <c r="AR43" s="110" t="s">
        <v>159</v>
      </c>
      <c r="AS43" s="108"/>
      <c r="AT43" s="111"/>
      <c r="AU43" s="109"/>
      <c r="AV43" s="109"/>
      <c r="AW43" s="109"/>
      <c r="AX43" s="109"/>
      <c r="AY43" s="109"/>
    </row>
    <row r="44" ht="24.0" customHeight="1" outlineLevel="1">
      <c r="A44" s="150">
        <f t="shared" si="14"/>
        <v>43</v>
      </c>
      <c r="B44" s="73" t="s">
        <v>36</v>
      </c>
      <c r="C44" s="74" t="s">
        <v>361</v>
      </c>
      <c r="D44" s="75" t="s">
        <v>161</v>
      </c>
      <c r="E44" s="76" t="s">
        <v>50</v>
      </c>
      <c r="F44" s="76"/>
      <c r="G44" s="76" t="s">
        <v>362</v>
      </c>
      <c r="H44" s="77" t="s">
        <v>363</v>
      </c>
      <c r="I44" s="76" t="s">
        <v>364</v>
      </c>
      <c r="J44" s="76" t="s">
        <v>365</v>
      </c>
      <c r="K44" s="78" t="s">
        <v>344</v>
      </c>
      <c r="L44" s="76" t="s">
        <v>344</v>
      </c>
      <c r="M44" s="79">
        <v>1.0</v>
      </c>
      <c r="N44" s="80"/>
      <c r="O44" s="80" t="str">
        <f t="shared" si="1"/>
        <v/>
      </c>
      <c r="P44" s="80"/>
      <c r="Q44" s="80" t="str">
        <f t="shared" si="2"/>
        <v/>
      </c>
      <c r="R44" s="80"/>
      <c r="S44" s="80" t="str">
        <f t="shared" si="3"/>
        <v/>
      </c>
      <c r="T44" s="82"/>
      <c r="U44" s="84"/>
      <c r="V44" s="83" t="str">
        <f t="shared" si="4"/>
        <v/>
      </c>
      <c r="W44" s="83" t="str">
        <f t="shared" si="5"/>
        <v/>
      </c>
      <c r="X44" s="84"/>
      <c r="Y44" s="84"/>
      <c r="Z44" s="84"/>
      <c r="AA44" s="84"/>
      <c r="AB44" s="124">
        <f>IFERROR(VLOOKUP(B44,'Scheme Master'!$B$4:$C$79,2,FALSE),"")</f>
        <v>70</v>
      </c>
      <c r="AC44" s="85" t="str">
        <f t="shared" si="6"/>
        <v/>
      </c>
      <c r="AD44" s="114"/>
      <c r="AE44" s="114"/>
      <c r="AF44" s="87" t="str">
        <f t="shared" si="7"/>
        <v/>
      </c>
      <c r="AG44" s="88" t="str">
        <f t="shared" si="8"/>
        <v/>
      </c>
      <c r="AH44" s="89" t="str">
        <f t="shared" si="9"/>
        <v/>
      </c>
      <c r="AI44" s="90" t="str">
        <f t="shared" si="10"/>
        <v/>
      </c>
      <c r="AJ44" s="91" t="str">
        <f t="shared" si="13"/>
        <v/>
      </c>
      <c r="AK44" s="92"/>
      <c r="AL44" s="94"/>
      <c r="AM44" s="93"/>
      <c r="AN44" s="94"/>
      <c r="AO44" s="90" t="str">
        <f t="shared" si="11"/>
        <v/>
      </c>
      <c r="AP44" s="115"/>
      <c r="AQ44" s="115"/>
      <c r="AR44" s="115"/>
      <c r="AS44" s="114"/>
      <c r="AT44" s="116"/>
      <c r="AU44" s="115"/>
      <c r="AV44" s="115"/>
      <c r="AW44" s="115"/>
      <c r="AX44" s="115"/>
      <c r="AY44" s="115"/>
    </row>
    <row r="45" ht="37.5" customHeight="1" outlineLevel="1">
      <c r="A45" s="120">
        <f t="shared" si="14"/>
        <v>44</v>
      </c>
      <c r="B45" s="26" t="s">
        <v>14</v>
      </c>
      <c r="C45" s="27">
        <v>3646796.0</v>
      </c>
      <c r="D45" s="28" t="s">
        <v>161</v>
      </c>
      <c r="E45" s="30" t="s">
        <v>178</v>
      </c>
      <c r="F45" s="30"/>
      <c r="G45" s="30" t="s">
        <v>300</v>
      </c>
      <c r="H45" s="70" t="s">
        <v>366</v>
      </c>
      <c r="I45" s="30" t="s">
        <v>367</v>
      </c>
      <c r="J45" s="30" t="s">
        <v>303</v>
      </c>
      <c r="K45" s="58">
        <v>46119.0</v>
      </c>
      <c r="L45" s="59">
        <v>46119.0</v>
      </c>
      <c r="M45" s="34">
        <v>20.0</v>
      </c>
      <c r="N45" s="34">
        <v>18.0</v>
      </c>
      <c r="O45" s="121">
        <f t="shared" si="1"/>
        <v>2</v>
      </c>
      <c r="P45" s="34">
        <v>18.0</v>
      </c>
      <c r="Q45" s="121">
        <f t="shared" si="2"/>
        <v>0</v>
      </c>
      <c r="R45" s="34">
        <v>16.0</v>
      </c>
      <c r="S45" s="121">
        <f t="shared" si="3"/>
        <v>2</v>
      </c>
      <c r="T45" s="151">
        <v>46122.0</v>
      </c>
      <c r="U45" s="57" t="s">
        <v>150</v>
      </c>
      <c r="V45" s="36">
        <f t="shared" si="4"/>
        <v>0.8888888889</v>
      </c>
      <c r="W45" s="36">
        <f t="shared" si="5"/>
        <v>0.1111111111</v>
      </c>
      <c r="X45" s="30" t="s">
        <v>304</v>
      </c>
      <c r="Y45" s="30" t="s">
        <v>305</v>
      </c>
      <c r="Z45" s="30" t="s">
        <v>368</v>
      </c>
      <c r="AA45" s="30" t="s">
        <v>369</v>
      </c>
      <c r="AB45" s="37">
        <f>IFERROR(VLOOKUP(B45,'Scheme Master'!$B$4:$C$79,2,FALSE),"")</f>
        <v>720</v>
      </c>
      <c r="AC45" s="38">
        <f t="shared" si="6"/>
        <v>12960</v>
      </c>
      <c r="AD45" s="108"/>
      <c r="AE45" s="108"/>
      <c r="AF45" s="40" t="str">
        <f t="shared" si="7"/>
        <v/>
      </c>
      <c r="AG45" s="41" t="str">
        <f t="shared" si="8"/>
        <v/>
      </c>
      <c r="AH45" s="42" t="str">
        <f t="shared" si="9"/>
        <v/>
      </c>
      <c r="AI45" s="43" t="str">
        <f t="shared" si="10"/>
        <v/>
      </c>
      <c r="AJ45" s="44" t="str">
        <f t="shared" si="13"/>
        <v/>
      </c>
      <c r="AK45" s="71"/>
      <c r="AL45" s="54"/>
      <c r="AM45" s="53"/>
      <c r="AN45" s="54"/>
      <c r="AO45" s="43" t="str">
        <f t="shared" si="11"/>
        <v/>
      </c>
      <c r="AP45" s="109"/>
      <c r="AQ45" s="109"/>
      <c r="AR45" s="110" t="s">
        <v>159</v>
      </c>
      <c r="AS45" s="108"/>
      <c r="AT45" s="111"/>
      <c r="AU45" s="109"/>
      <c r="AV45" s="109"/>
      <c r="AW45" s="109"/>
      <c r="AX45" s="109"/>
      <c r="AY45" s="109"/>
    </row>
    <row r="46" ht="24.0" customHeight="1" outlineLevel="1">
      <c r="A46" s="120">
        <f t="shared" si="14"/>
        <v>45</v>
      </c>
      <c r="B46" s="55" t="s">
        <v>45</v>
      </c>
      <c r="C46" s="27">
        <v>3757429.0</v>
      </c>
      <c r="D46" s="152" t="s">
        <v>188</v>
      </c>
      <c r="E46" s="57" t="s">
        <v>189</v>
      </c>
      <c r="F46" s="57"/>
      <c r="G46" s="57" t="s">
        <v>370</v>
      </c>
      <c r="H46" s="31" t="s">
        <v>371</v>
      </c>
      <c r="I46" s="57" t="s">
        <v>372</v>
      </c>
      <c r="J46" s="57" t="s">
        <v>193</v>
      </c>
      <c r="K46" s="58">
        <v>46119.0</v>
      </c>
      <c r="L46" s="59">
        <v>46119.0</v>
      </c>
      <c r="M46" s="60">
        <v>8.0</v>
      </c>
      <c r="N46" s="60">
        <v>5.0</v>
      </c>
      <c r="O46" s="121">
        <f t="shared" si="1"/>
        <v>3</v>
      </c>
      <c r="P46" s="60">
        <v>5.0</v>
      </c>
      <c r="Q46" s="121">
        <f t="shared" si="2"/>
        <v>0</v>
      </c>
      <c r="R46" s="60">
        <v>5.0</v>
      </c>
      <c r="S46" s="121">
        <f t="shared" si="3"/>
        <v>0</v>
      </c>
      <c r="T46" s="59">
        <v>46119.0</v>
      </c>
      <c r="U46" s="57" t="s">
        <v>150</v>
      </c>
      <c r="V46" s="36">
        <f t="shared" si="4"/>
        <v>1</v>
      </c>
      <c r="W46" s="36">
        <f t="shared" si="5"/>
        <v>0</v>
      </c>
      <c r="X46" s="57" t="s">
        <v>373</v>
      </c>
      <c r="Y46" s="57" t="s">
        <v>374</v>
      </c>
      <c r="Z46" s="57" t="s">
        <v>373</v>
      </c>
      <c r="AA46" s="57" t="s">
        <v>375</v>
      </c>
      <c r="AB46" s="37">
        <f>IFERROR(VLOOKUP(B46,'Scheme Master'!$B$4:$C$79,2,FALSE),"")</f>
        <v>360</v>
      </c>
      <c r="AC46" s="38">
        <f t="shared" si="6"/>
        <v>1800</v>
      </c>
      <c r="AD46" s="103"/>
      <c r="AE46" s="103"/>
      <c r="AF46" s="40" t="str">
        <f t="shared" si="7"/>
        <v/>
      </c>
      <c r="AG46" s="41" t="str">
        <f t="shared" si="8"/>
        <v/>
      </c>
      <c r="AH46" s="42" t="str">
        <f t="shared" si="9"/>
        <v/>
      </c>
      <c r="AI46" s="43" t="str">
        <f t="shared" si="10"/>
        <v/>
      </c>
      <c r="AJ46" s="44" t="str">
        <f t="shared" si="13"/>
        <v/>
      </c>
      <c r="AK46" s="104"/>
      <c r="AL46" s="65"/>
      <c r="AM46" s="64"/>
      <c r="AN46" s="65"/>
      <c r="AO46" s="43" t="str">
        <f t="shared" si="11"/>
        <v/>
      </c>
      <c r="AP46" s="105"/>
      <c r="AQ46" s="105"/>
      <c r="AR46" s="106" t="s">
        <v>159</v>
      </c>
      <c r="AS46" s="103"/>
      <c r="AT46" s="107"/>
      <c r="AU46" s="105"/>
      <c r="AV46" s="105"/>
      <c r="AW46" s="105"/>
      <c r="AX46" s="105"/>
      <c r="AY46" s="105"/>
    </row>
    <row r="47" ht="24.0" customHeight="1" outlineLevel="1">
      <c r="A47" s="120">
        <f t="shared" si="14"/>
        <v>46</v>
      </c>
      <c r="B47" s="26" t="s">
        <v>61</v>
      </c>
      <c r="C47" s="27" t="s">
        <v>376</v>
      </c>
      <c r="D47" s="153" t="s">
        <v>161</v>
      </c>
      <c r="E47" s="30" t="s">
        <v>377</v>
      </c>
      <c r="F47" s="30"/>
      <c r="G47" s="30" t="s">
        <v>378</v>
      </c>
      <c r="H47" s="70" t="s">
        <v>379</v>
      </c>
      <c r="I47" s="123"/>
      <c r="J47" s="123"/>
      <c r="K47" s="58">
        <v>46119.0</v>
      </c>
      <c r="L47" s="59">
        <v>46119.0</v>
      </c>
      <c r="M47" s="34">
        <v>3.0</v>
      </c>
      <c r="N47" s="34">
        <v>3.0</v>
      </c>
      <c r="O47" s="121">
        <f t="shared" si="1"/>
        <v>0</v>
      </c>
      <c r="P47" s="34">
        <v>3.0</v>
      </c>
      <c r="Q47" s="121">
        <f t="shared" si="2"/>
        <v>0</v>
      </c>
      <c r="R47" s="34">
        <v>3.0</v>
      </c>
      <c r="S47" s="121">
        <f t="shared" si="3"/>
        <v>0</v>
      </c>
      <c r="T47" s="59">
        <v>46119.0</v>
      </c>
      <c r="U47" s="30" t="s">
        <v>150</v>
      </c>
      <c r="V47" s="36">
        <f t="shared" si="4"/>
        <v>1</v>
      </c>
      <c r="W47" s="36">
        <f t="shared" si="5"/>
        <v>0</v>
      </c>
      <c r="X47" s="30" t="s">
        <v>380</v>
      </c>
      <c r="Y47" s="30" t="s">
        <v>252</v>
      </c>
      <c r="Z47" s="123"/>
      <c r="AA47" s="123"/>
      <c r="AB47" s="37">
        <f>IFERROR(VLOOKUP(B47,'Scheme Master'!$B$4:$C$79,2,FALSE),"")</f>
        <v>400</v>
      </c>
      <c r="AC47" s="38">
        <f t="shared" si="6"/>
        <v>1200</v>
      </c>
      <c r="AD47" s="108"/>
      <c r="AE47" s="108"/>
      <c r="AF47" s="40" t="str">
        <f t="shared" si="7"/>
        <v/>
      </c>
      <c r="AG47" s="41" t="str">
        <f t="shared" si="8"/>
        <v/>
      </c>
      <c r="AH47" s="42" t="str">
        <f t="shared" si="9"/>
        <v/>
      </c>
      <c r="AI47" s="43" t="str">
        <f t="shared" si="10"/>
        <v/>
      </c>
      <c r="AJ47" s="44" t="str">
        <f t="shared" si="13"/>
        <v/>
      </c>
      <c r="AK47" s="71"/>
      <c r="AL47" s="54"/>
      <c r="AM47" s="53"/>
      <c r="AN47" s="54"/>
      <c r="AO47" s="43" t="str">
        <f t="shared" si="11"/>
        <v/>
      </c>
      <c r="AP47" s="109"/>
      <c r="AQ47" s="109"/>
      <c r="AR47" s="110" t="s">
        <v>159</v>
      </c>
      <c r="AS47" s="108"/>
      <c r="AT47" s="111"/>
      <c r="AU47" s="109"/>
      <c r="AV47" s="109"/>
      <c r="AW47" s="109"/>
      <c r="AX47" s="109"/>
      <c r="AY47" s="109"/>
    </row>
    <row r="48" ht="24.0" customHeight="1" outlineLevel="1">
      <c r="A48" s="120">
        <f t="shared" si="14"/>
        <v>47</v>
      </c>
      <c r="B48" s="55" t="s">
        <v>6</v>
      </c>
      <c r="C48" s="27">
        <v>3729854.0</v>
      </c>
      <c r="D48" s="152" t="s">
        <v>161</v>
      </c>
      <c r="E48" s="57" t="s">
        <v>162</v>
      </c>
      <c r="F48" s="57"/>
      <c r="G48" s="57" t="s">
        <v>346</v>
      </c>
      <c r="H48" s="31" t="s">
        <v>238</v>
      </c>
      <c r="I48" s="57" t="s">
        <v>381</v>
      </c>
      <c r="J48" s="57" t="s">
        <v>149</v>
      </c>
      <c r="K48" s="58">
        <v>46120.0</v>
      </c>
      <c r="L48" s="59">
        <v>46120.0</v>
      </c>
      <c r="M48" s="60">
        <v>24.0</v>
      </c>
      <c r="N48" s="60">
        <v>19.0</v>
      </c>
      <c r="O48" s="121">
        <f t="shared" si="1"/>
        <v>5</v>
      </c>
      <c r="P48" s="60">
        <v>19.0</v>
      </c>
      <c r="Q48" s="121">
        <f t="shared" si="2"/>
        <v>0</v>
      </c>
      <c r="R48" s="60">
        <v>19.0</v>
      </c>
      <c r="S48" s="121">
        <f t="shared" si="3"/>
        <v>0</v>
      </c>
      <c r="T48" s="59">
        <v>46121.0</v>
      </c>
      <c r="U48" s="57" t="s">
        <v>150</v>
      </c>
      <c r="V48" s="36">
        <f t="shared" si="4"/>
        <v>1</v>
      </c>
      <c r="W48" s="36">
        <f t="shared" si="5"/>
        <v>0</v>
      </c>
      <c r="X48" s="57" t="s">
        <v>350</v>
      </c>
      <c r="Y48" s="57" t="s">
        <v>351</v>
      </c>
      <c r="Z48" s="57" t="s">
        <v>352</v>
      </c>
      <c r="AA48" s="57" t="s">
        <v>353</v>
      </c>
      <c r="AB48" s="37">
        <f>IFERROR(VLOOKUP(B48,'Scheme Master'!$B$4:$C$79,2,FALSE),"")</f>
        <v>480</v>
      </c>
      <c r="AC48" s="38">
        <f t="shared" si="6"/>
        <v>9120</v>
      </c>
      <c r="AD48" s="118">
        <v>2000.0</v>
      </c>
      <c r="AE48" s="118">
        <v>1000.0</v>
      </c>
      <c r="AF48" s="40">
        <f t="shared" si="7"/>
        <v>3000</v>
      </c>
      <c r="AG48" s="41">
        <f t="shared" si="8"/>
        <v>6120</v>
      </c>
      <c r="AH48" s="42">
        <f t="shared" si="9"/>
        <v>0.3289473684</v>
      </c>
      <c r="AI48" s="43" t="str">
        <f t="shared" si="10"/>
        <v>✅ Auto-Approved</v>
      </c>
      <c r="AJ48" s="44" t="str">
        <f t="shared" si="13"/>
        <v>Within budget. No approval needed.</v>
      </c>
      <c r="AK48" s="104"/>
      <c r="AL48" s="65"/>
      <c r="AM48" s="64"/>
      <c r="AN48" s="65"/>
      <c r="AO48" s="43" t="str">
        <f t="shared" si="11"/>
        <v>✅ Approved (Auto - Within Budget)</v>
      </c>
      <c r="AP48" s="105"/>
      <c r="AQ48" s="105"/>
      <c r="AR48" s="106" t="s">
        <v>159</v>
      </c>
      <c r="AS48" s="103"/>
      <c r="AT48" s="107"/>
      <c r="AU48" s="105"/>
      <c r="AV48" s="105"/>
      <c r="AW48" s="105"/>
      <c r="AX48" s="105"/>
      <c r="AY48" s="105"/>
    </row>
    <row r="49" ht="24.0" customHeight="1" outlineLevel="1">
      <c r="A49" s="120">
        <f t="shared" si="14"/>
        <v>48</v>
      </c>
      <c r="B49" s="55" t="s">
        <v>57</v>
      </c>
      <c r="C49" s="27" t="s">
        <v>382</v>
      </c>
      <c r="D49" s="152" t="s">
        <v>161</v>
      </c>
      <c r="E49" s="57" t="s">
        <v>162</v>
      </c>
      <c r="F49" s="57"/>
      <c r="G49" s="57" t="s">
        <v>383</v>
      </c>
      <c r="H49" s="31" t="s">
        <v>384</v>
      </c>
      <c r="I49" s="57" t="s">
        <v>385</v>
      </c>
      <c r="J49" s="57" t="s">
        <v>386</v>
      </c>
      <c r="K49" s="58">
        <v>46120.0</v>
      </c>
      <c r="L49" s="59">
        <v>46120.0</v>
      </c>
      <c r="M49" s="60">
        <v>31.0</v>
      </c>
      <c r="N49" s="60">
        <v>21.0</v>
      </c>
      <c r="O49" s="121">
        <f t="shared" si="1"/>
        <v>10</v>
      </c>
      <c r="P49" s="60">
        <v>0.0</v>
      </c>
      <c r="Q49" s="121">
        <f t="shared" si="2"/>
        <v>21</v>
      </c>
      <c r="R49" s="60">
        <v>21.0</v>
      </c>
      <c r="S49" s="121">
        <f t="shared" si="3"/>
        <v>0</v>
      </c>
      <c r="T49" s="31" t="s">
        <v>387</v>
      </c>
      <c r="U49" s="57" t="s">
        <v>150</v>
      </c>
      <c r="V49" s="36">
        <f t="shared" si="4"/>
        <v>1</v>
      </c>
      <c r="W49" s="36">
        <f t="shared" si="5"/>
        <v>0</v>
      </c>
      <c r="X49" s="57" t="s">
        <v>388</v>
      </c>
      <c r="Y49" s="57" t="s">
        <v>389</v>
      </c>
      <c r="Z49" s="57" t="s">
        <v>390</v>
      </c>
      <c r="AA49" s="57" t="s">
        <v>391</v>
      </c>
      <c r="AB49" s="37">
        <f>IFERROR(VLOOKUP(B49,'Scheme Master'!$B$4:$C$79,2,FALSE),"")</f>
        <v>400</v>
      </c>
      <c r="AC49" s="38">
        <f t="shared" si="6"/>
        <v>8400</v>
      </c>
      <c r="AD49" s="103"/>
      <c r="AE49" s="118"/>
      <c r="AF49" s="40" t="str">
        <f t="shared" si="7"/>
        <v/>
      </c>
      <c r="AG49" s="41" t="str">
        <f t="shared" si="8"/>
        <v/>
      </c>
      <c r="AH49" s="42" t="str">
        <f t="shared" si="9"/>
        <v/>
      </c>
      <c r="AI49" s="43" t="str">
        <f t="shared" si="10"/>
        <v/>
      </c>
      <c r="AJ49" s="154"/>
      <c r="AK49" s="104"/>
      <c r="AL49" s="65"/>
      <c r="AM49" s="64"/>
      <c r="AN49" s="65"/>
      <c r="AO49" s="43" t="str">
        <f t="shared" si="11"/>
        <v/>
      </c>
      <c r="AP49" s="105"/>
      <c r="AQ49" s="105"/>
      <c r="AR49" s="106" t="s">
        <v>159</v>
      </c>
      <c r="AS49" s="103"/>
      <c r="AT49" s="107"/>
      <c r="AU49" s="105"/>
      <c r="AV49" s="105"/>
      <c r="AW49" s="105"/>
      <c r="AX49" s="105"/>
      <c r="AY49" s="105"/>
    </row>
    <row r="50" ht="24.0" customHeight="1" outlineLevel="1">
      <c r="A50" s="120">
        <f t="shared" si="14"/>
        <v>49</v>
      </c>
      <c r="B50" s="55" t="s">
        <v>13</v>
      </c>
      <c r="C50" s="27">
        <v>3726957.0</v>
      </c>
      <c r="D50" s="152" t="s">
        <v>161</v>
      </c>
      <c r="E50" s="57" t="s">
        <v>178</v>
      </c>
      <c r="F50" s="57"/>
      <c r="G50" s="57" t="s">
        <v>308</v>
      </c>
      <c r="H50" s="31" t="s">
        <v>392</v>
      </c>
      <c r="I50" s="57" t="s">
        <v>393</v>
      </c>
      <c r="J50" s="57" t="s">
        <v>258</v>
      </c>
      <c r="K50" s="58">
        <v>46120.0</v>
      </c>
      <c r="L50" s="59">
        <v>46121.0</v>
      </c>
      <c r="M50" s="60">
        <v>27.0</v>
      </c>
      <c r="N50" s="60">
        <v>27.0</v>
      </c>
      <c r="O50" s="121">
        <f t="shared" si="1"/>
        <v>0</v>
      </c>
      <c r="P50" s="60">
        <v>27.0</v>
      </c>
      <c r="Q50" s="121">
        <f t="shared" si="2"/>
        <v>0</v>
      </c>
      <c r="R50" s="60">
        <v>26.0</v>
      </c>
      <c r="S50" s="121">
        <f t="shared" si="3"/>
        <v>1</v>
      </c>
      <c r="T50" s="59">
        <v>46124.0</v>
      </c>
      <c r="U50" s="57" t="s">
        <v>150</v>
      </c>
      <c r="V50" s="36">
        <f t="shared" si="4"/>
        <v>0.962962963</v>
      </c>
      <c r="W50" s="36">
        <f t="shared" si="5"/>
        <v>0.03703703704</v>
      </c>
      <c r="X50" s="57" t="s">
        <v>394</v>
      </c>
      <c r="Y50" s="57" t="s">
        <v>260</v>
      </c>
      <c r="Z50" s="57" t="s">
        <v>395</v>
      </c>
      <c r="AA50" s="57" t="s">
        <v>396</v>
      </c>
      <c r="AB50" s="37">
        <f>IFERROR(VLOOKUP(B50,'Scheme Master'!$B$4:$C$79,2,FALSE),"")</f>
        <v>540</v>
      </c>
      <c r="AC50" s="38">
        <f t="shared" si="6"/>
        <v>14580</v>
      </c>
      <c r="AD50" s="103"/>
      <c r="AE50" s="118"/>
      <c r="AF50" s="40" t="str">
        <f t="shared" si="7"/>
        <v/>
      </c>
      <c r="AG50" s="41" t="str">
        <f t="shared" si="8"/>
        <v/>
      </c>
      <c r="AH50" s="42" t="str">
        <f t="shared" si="9"/>
        <v/>
      </c>
      <c r="AI50" s="43" t="str">
        <f t="shared" si="10"/>
        <v/>
      </c>
      <c r="AJ50" s="154"/>
      <c r="AK50" s="104"/>
      <c r="AL50" s="65"/>
      <c r="AM50" s="64"/>
      <c r="AN50" s="65"/>
      <c r="AO50" s="43" t="str">
        <f t="shared" si="11"/>
        <v/>
      </c>
      <c r="AP50" s="105"/>
      <c r="AQ50" s="105"/>
      <c r="AR50" s="106" t="s">
        <v>159</v>
      </c>
      <c r="AS50" s="103"/>
      <c r="AT50" s="107"/>
      <c r="AU50" s="105"/>
      <c r="AV50" s="105"/>
      <c r="AW50" s="105"/>
      <c r="AX50" s="105"/>
      <c r="AY50" s="105"/>
    </row>
    <row r="51" ht="24.0" customHeight="1" outlineLevel="1">
      <c r="A51" s="120">
        <f t="shared" si="14"/>
        <v>50</v>
      </c>
      <c r="B51" s="26" t="s">
        <v>45</v>
      </c>
      <c r="C51" s="27">
        <v>3757269.0</v>
      </c>
      <c r="D51" s="153" t="s">
        <v>188</v>
      </c>
      <c r="E51" s="30" t="s">
        <v>50</v>
      </c>
      <c r="F51" s="30"/>
      <c r="G51" s="30" t="s">
        <v>146</v>
      </c>
      <c r="H51" s="31" t="s">
        <v>397</v>
      </c>
      <c r="I51" s="30" t="s">
        <v>398</v>
      </c>
      <c r="J51" s="30" t="s">
        <v>149</v>
      </c>
      <c r="K51" s="58">
        <v>46120.0</v>
      </c>
      <c r="L51" s="59">
        <v>46120.0</v>
      </c>
      <c r="M51" s="34">
        <v>26.0</v>
      </c>
      <c r="N51" s="34">
        <v>25.0</v>
      </c>
      <c r="O51" s="121">
        <f t="shared" si="1"/>
        <v>1</v>
      </c>
      <c r="P51" s="34">
        <v>25.0</v>
      </c>
      <c r="Q51" s="121">
        <f t="shared" si="2"/>
        <v>0</v>
      </c>
      <c r="R51" s="34">
        <v>25.0</v>
      </c>
      <c r="S51" s="121">
        <f t="shared" si="3"/>
        <v>0</v>
      </c>
      <c r="T51" s="33">
        <v>46120.0</v>
      </c>
      <c r="U51" s="30" t="s">
        <v>150</v>
      </c>
      <c r="V51" s="36">
        <f t="shared" si="4"/>
        <v>1</v>
      </c>
      <c r="W51" s="36">
        <f t="shared" si="5"/>
        <v>0</v>
      </c>
      <c r="X51" s="30" t="s">
        <v>399</v>
      </c>
      <c r="Y51" s="30" t="s">
        <v>400</v>
      </c>
      <c r="Z51" s="30" t="s">
        <v>399</v>
      </c>
      <c r="AA51" s="30" t="s">
        <v>401</v>
      </c>
      <c r="AB51" s="37">
        <f>IFERROR(VLOOKUP(B51,'Scheme Master'!$B$4:$C$79,2,FALSE),"")</f>
        <v>360</v>
      </c>
      <c r="AC51" s="38">
        <f t="shared" si="6"/>
        <v>9000</v>
      </c>
      <c r="AD51" s="122">
        <v>2000.0</v>
      </c>
      <c r="AE51" s="108"/>
      <c r="AF51" s="40">
        <f t="shared" si="7"/>
        <v>2000</v>
      </c>
      <c r="AG51" s="41">
        <f t="shared" si="8"/>
        <v>7000</v>
      </c>
      <c r="AH51" s="42">
        <f t="shared" si="9"/>
        <v>0.2222222222</v>
      </c>
      <c r="AI51" s="43" t="str">
        <f t="shared" si="10"/>
        <v>✅ Auto-Approved</v>
      </c>
      <c r="AJ51" s="44" t="str">
        <f t="shared" ref="AJ51:AJ53" si="15">IF(AI51="","",IF(AF51&gt;AC51,"URGENT: Expenses exceed total income. Immediate review needed.",IF(AH51&gt;0.4,"Expenses exceed 40% of income. Management approval required.","Within budget. No approval needed.")))</f>
        <v>Within budget. No approval needed.</v>
      </c>
      <c r="AK51" s="71"/>
      <c r="AL51" s="54"/>
      <c r="AM51" s="53"/>
      <c r="AN51" s="54"/>
      <c r="AO51" s="43" t="str">
        <f t="shared" si="11"/>
        <v>✅ Approved (Auto - Within Budget)</v>
      </c>
      <c r="AP51" s="109"/>
      <c r="AQ51" s="109"/>
      <c r="AR51" s="110" t="s">
        <v>159</v>
      </c>
      <c r="AS51" s="108"/>
      <c r="AT51" s="111"/>
      <c r="AU51" s="109"/>
      <c r="AV51" s="109"/>
      <c r="AW51" s="109"/>
      <c r="AX51" s="109"/>
      <c r="AY51" s="109"/>
    </row>
    <row r="52" ht="24.0" customHeight="1" outlineLevel="1">
      <c r="A52" s="120">
        <f t="shared" si="14"/>
        <v>51</v>
      </c>
      <c r="B52" s="55" t="s">
        <v>45</v>
      </c>
      <c r="C52" s="27">
        <v>3758604.0</v>
      </c>
      <c r="D52" s="152" t="s">
        <v>188</v>
      </c>
      <c r="E52" s="30" t="s">
        <v>50</v>
      </c>
      <c r="F52" s="30"/>
      <c r="G52" s="30" t="s">
        <v>146</v>
      </c>
      <c r="H52" s="31" t="s">
        <v>402</v>
      </c>
      <c r="I52" s="57" t="s">
        <v>403</v>
      </c>
      <c r="J52" s="57" t="s">
        <v>349</v>
      </c>
      <c r="K52" s="58">
        <v>46120.0</v>
      </c>
      <c r="L52" s="59">
        <v>46120.0</v>
      </c>
      <c r="M52" s="60">
        <v>15.0</v>
      </c>
      <c r="N52" s="60">
        <v>8.0</v>
      </c>
      <c r="O52" s="121">
        <f t="shared" si="1"/>
        <v>7</v>
      </c>
      <c r="P52" s="60">
        <v>8.0</v>
      </c>
      <c r="Q52" s="121">
        <f t="shared" si="2"/>
        <v>0</v>
      </c>
      <c r="R52" s="60">
        <v>8.0</v>
      </c>
      <c r="S52" s="121">
        <f t="shared" si="3"/>
        <v>0</v>
      </c>
      <c r="T52" s="33">
        <v>46120.0</v>
      </c>
      <c r="U52" s="57" t="s">
        <v>150</v>
      </c>
      <c r="V52" s="36">
        <f t="shared" si="4"/>
        <v>1</v>
      </c>
      <c r="W52" s="36">
        <f t="shared" si="5"/>
        <v>0</v>
      </c>
      <c r="X52" s="155" t="s">
        <v>404</v>
      </c>
      <c r="Y52" s="155" t="s">
        <v>405</v>
      </c>
      <c r="Z52" s="57" t="s">
        <v>404</v>
      </c>
      <c r="AA52" s="57" t="s">
        <v>406</v>
      </c>
      <c r="AB52" s="37">
        <f>IFERROR(VLOOKUP(B52,'Scheme Master'!$B$4:$C$79,2,FALSE),"")</f>
        <v>360</v>
      </c>
      <c r="AC52" s="38">
        <f t="shared" si="6"/>
        <v>2880</v>
      </c>
      <c r="AD52" s="118">
        <v>700.0</v>
      </c>
      <c r="AE52" s="103"/>
      <c r="AF52" s="40">
        <f t="shared" si="7"/>
        <v>700</v>
      </c>
      <c r="AG52" s="41">
        <f t="shared" si="8"/>
        <v>2180</v>
      </c>
      <c r="AH52" s="42">
        <f t="shared" si="9"/>
        <v>0.2430555556</v>
      </c>
      <c r="AI52" s="43" t="str">
        <f t="shared" si="10"/>
        <v>✅ Auto-Approved</v>
      </c>
      <c r="AJ52" s="44" t="str">
        <f t="shared" si="15"/>
        <v>Within budget. No approval needed.</v>
      </c>
      <c r="AK52" s="104"/>
      <c r="AL52" s="65"/>
      <c r="AM52" s="64"/>
      <c r="AN52" s="65"/>
      <c r="AO52" s="43" t="str">
        <f t="shared" si="11"/>
        <v>✅ Approved (Auto - Within Budget)</v>
      </c>
      <c r="AP52" s="105"/>
      <c r="AQ52" s="105"/>
      <c r="AR52" s="106" t="s">
        <v>159</v>
      </c>
      <c r="AS52" s="103"/>
      <c r="AT52" s="107"/>
      <c r="AU52" s="105"/>
      <c r="AV52" s="105"/>
      <c r="AW52" s="105"/>
      <c r="AX52" s="105"/>
      <c r="AY52" s="105"/>
    </row>
    <row r="53" ht="24.0" customHeight="1" outlineLevel="1">
      <c r="A53" s="120">
        <f t="shared" si="14"/>
        <v>52</v>
      </c>
      <c r="B53" s="26" t="s">
        <v>45</v>
      </c>
      <c r="C53" s="27">
        <v>3759508.0</v>
      </c>
      <c r="D53" s="153" t="s">
        <v>188</v>
      </c>
      <c r="E53" s="30" t="s">
        <v>50</v>
      </c>
      <c r="F53" s="30"/>
      <c r="G53" s="30" t="s">
        <v>146</v>
      </c>
      <c r="H53" s="70" t="s">
        <v>407</v>
      </c>
      <c r="I53" s="30" t="s">
        <v>408</v>
      </c>
      <c r="J53" s="30" t="s">
        <v>193</v>
      </c>
      <c r="K53" s="58">
        <v>46120.0</v>
      </c>
      <c r="L53" s="59">
        <v>46120.0</v>
      </c>
      <c r="M53" s="34">
        <v>5.0</v>
      </c>
      <c r="N53" s="34">
        <v>5.0</v>
      </c>
      <c r="O53" s="121">
        <f t="shared" si="1"/>
        <v>0</v>
      </c>
      <c r="P53" s="34">
        <v>4.0</v>
      </c>
      <c r="Q53" s="121">
        <f t="shared" si="2"/>
        <v>1</v>
      </c>
      <c r="R53" s="34">
        <v>5.0</v>
      </c>
      <c r="S53" s="121">
        <f t="shared" si="3"/>
        <v>0</v>
      </c>
      <c r="T53" s="33">
        <v>46120.0</v>
      </c>
      <c r="U53" s="30" t="s">
        <v>150</v>
      </c>
      <c r="V53" s="36">
        <f t="shared" si="4"/>
        <v>1</v>
      </c>
      <c r="W53" s="36">
        <f t="shared" si="5"/>
        <v>0</v>
      </c>
      <c r="X53" s="57" t="s">
        <v>409</v>
      </c>
      <c r="Y53" s="57" t="s">
        <v>410</v>
      </c>
      <c r="Z53" s="30" t="s">
        <v>409</v>
      </c>
      <c r="AA53" s="30" t="s">
        <v>411</v>
      </c>
      <c r="AB53" s="37">
        <f>IFERROR(VLOOKUP(B53,'Scheme Master'!$B$4:$C$79,2,FALSE),"")</f>
        <v>360</v>
      </c>
      <c r="AC53" s="38">
        <f t="shared" si="6"/>
        <v>1800</v>
      </c>
      <c r="AD53" s="122">
        <v>500.0</v>
      </c>
      <c r="AE53" s="108"/>
      <c r="AF53" s="40">
        <f t="shared" si="7"/>
        <v>500</v>
      </c>
      <c r="AG53" s="41">
        <f t="shared" si="8"/>
        <v>1300</v>
      </c>
      <c r="AH53" s="42">
        <f t="shared" si="9"/>
        <v>0.2777777778</v>
      </c>
      <c r="AI53" s="43" t="str">
        <f t="shared" si="10"/>
        <v>✅ Auto-Approved</v>
      </c>
      <c r="AJ53" s="44" t="str">
        <f t="shared" si="15"/>
        <v>Within budget. No approval needed.</v>
      </c>
      <c r="AK53" s="71"/>
      <c r="AL53" s="54"/>
      <c r="AM53" s="53"/>
      <c r="AN53" s="54"/>
      <c r="AO53" s="43" t="str">
        <f t="shared" si="11"/>
        <v>✅ Approved (Auto - Within Budget)</v>
      </c>
      <c r="AP53" s="109"/>
      <c r="AQ53" s="109"/>
      <c r="AR53" s="110" t="s">
        <v>159</v>
      </c>
      <c r="AS53" s="108"/>
      <c r="AT53" s="111"/>
      <c r="AU53" s="109"/>
      <c r="AV53" s="109"/>
      <c r="AW53" s="109"/>
      <c r="AX53" s="109"/>
      <c r="AY53" s="109"/>
    </row>
    <row r="54" ht="24.0" customHeight="1" outlineLevel="1">
      <c r="A54" s="120">
        <f t="shared" si="14"/>
        <v>53</v>
      </c>
      <c r="B54" s="55" t="s">
        <v>6</v>
      </c>
      <c r="C54" s="27">
        <v>3747386.0</v>
      </c>
      <c r="D54" s="152" t="s">
        <v>161</v>
      </c>
      <c r="E54" s="57" t="s">
        <v>162</v>
      </c>
      <c r="F54" s="57"/>
      <c r="G54" s="57" t="s">
        <v>346</v>
      </c>
      <c r="H54" s="31" t="s">
        <v>238</v>
      </c>
      <c r="I54" s="57" t="s">
        <v>165</v>
      </c>
      <c r="J54" s="57" t="s">
        <v>166</v>
      </c>
      <c r="K54" s="58">
        <v>46121.0</v>
      </c>
      <c r="L54" s="59">
        <v>46121.0</v>
      </c>
      <c r="M54" s="60">
        <v>21.0</v>
      </c>
      <c r="N54" s="60">
        <v>14.0</v>
      </c>
      <c r="O54" s="121">
        <f t="shared" si="1"/>
        <v>7</v>
      </c>
      <c r="P54" s="60">
        <v>14.0</v>
      </c>
      <c r="Q54" s="121">
        <f t="shared" si="2"/>
        <v>0</v>
      </c>
      <c r="R54" s="60">
        <v>14.0</v>
      </c>
      <c r="S54" s="121">
        <f t="shared" si="3"/>
        <v>0</v>
      </c>
      <c r="T54" s="33">
        <v>46121.0</v>
      </c>
      <c r="U54" s="57" t="s">
        <v>150</v>
      </c>
      <c r="V54" s="36">
        <f t="shared" si="4"/>
        <v>1</v>
      </c>
      <c r="W54" s="36">
        <f t="shared" si="5"/>
        <v>0</v>
      </c>
      <c r="X54" s="57" t="s">
        <v>412</v>
      </c>
      <c r="Y54" s="57" t="s">
        <v>168</v>
      </c>
      <c r="Z54" s="57" t="s">
        <v>413</v>
      </c>
      <c r="AA54" s="57" t="s">
        <v>414</v>
      </c>
      <c r="AB54" s="37">
        <f>IFERROR(VLOOKUP(B54,'Scheme Master'!$B$4:$C$79,2,FALSE),"")</f>
        <v>480</v>
      </c>
      <c r="AC54" s="38">
        <f t="shared" si="6"/>
        <v>6720</v>
      </c>
      <c r="AD54" s="103"/>
      <c r="AE54" s="61">
        <v>3000.0</v>
      </c>
      <c r="AF54" s="40">
        <f t="shared" si="7"/>
        <v>3000</v>
      </c>
      <c r="AG54" s="41">
        <f t="shared" si="8"/>
        <v>3720</v>
      </c>
      <c r="AH54" s="42">
        <f t="shared" si="9"/>
        <v>0.4464285714</v>
      </c>
      <c r="AI54" s="43" t="str">
        <f t="shared" si="10"/>
        <v>⚠️ Approval Required</v>
      </c>
      <c r="AJ54" s="154" t="s">
        <v>415</v>
      </c>
      <c r="AK54" s="104"/>
      <c r="AL54" s="65"/>
      <c r="AM54" s="64"/>
      <c r="AN54" s="65"/>
      <c r="AO54" s="43" t="str">
        <f t="shared" si="11"/>
        <v>⏳ Awaiting Approval</v>
      </c>
      <c r="AP54" s="105"/>
      <c r="AQ54" s="105"/>
      <c r="AR54" s="105"/>
      <c r="AS54" s="103"/>
      <c r="AT54" s="107"/>
      <c r="AU54" s="105"/>
      <c r="AV54" s="105"/>
      <c r="AW54" s="105"/>
      <c r="AX54" s="105"/>
      <c r="AY54" s="105"/>
    </row>
    <row r="55" ht="24.0" customHeight="1" outlineLevel="1">
      <c r="A55" s="120">
        <f t="shared" si="14"/>
        <v>54</v>
      </c>
      <c r="B55" s="55" t="s">
        <v>14</v>
      </c>
      <c r="C55" s="27">
        <v>3582796.0</v>
      </c>
      <c r="D55" s="152" t="s">
        <v>161</v>
      </c>
      <c r="E55" s="57" t="s">
        <v>178</v>
      </c>
      <c r="F55" s="57"/>
      <c r="G55" s="57" t="s">
        <v>300</v>
      </c>
      <c r="H55" s="70" t="s">
        <v>416</v>
      </c>
      <c r="I55" s="57" t="s">
        <v>417</v>
      </c>
      <c r="J55" s="57" t="s">
        <v>418</v>
      </c>
      <c r="K55" s="58">
        <v>46121.0</v>
      </c>
      <c r="L55" s="59">
        <v>46122.0</v>
      </c>
      <c r="M55" s="60">
        <v>30.0</v>
      </c>
      <c r="N55" s="60">
        <v>21.0</v>
      </c>
      <c r="O55" s="34">
        <v>9.0</v>
      </c>
      <c r="P55" s="60">
        <v>30.0</v>
      </c>
      <c r="Q55" s="34">
        <v>0.0</v>
      </c>
      <c r="R55" s="60">
        <v>21.0</v>
      </c>
      <c r="S55" s="121">
        <f t="shared" si="3"/>
        <v>0</v>
      </c>
      <c r="T55" s="57" t="s">
        <v>419</v>
      </c>
      <c r="U55" s="57" t="s">
        <v>420</v>
      </c>
      <c r="V55" s="36">
        <f t="shared" si="4"/>
        <v>1</v>
      </c>
      <c r="W55" s="36">
        <f t="shared" si="5"/>
        <v>0</v>
      </c>
      <c r="X55" s="57" t="s">
        <v>421</v>
      </c>
      <c r="Y55" s="57" t="s">
        <v>422</v>
      </c>
      <c r="Z55" s="57" t="s">
        <v>423</v>
      </c>
      <c r="AA55" s="57" t="s">
        <v>424</v>
      </c>
      <c r="AB55" s="37">
        <f>IFERROR(VLOOKUP(B55,'Scheme Master'!$B$4:$C$79,2,FALSE),"")</f>
        <v>720</v>
      </c>
      <c r="AC55" s="38">
        <f t="shared" si="6"/>
        <v>15120</v>
      </c>
      <c r="AD55" s="103"/>
      <c r="AE55" s="118"/>
      <c r="AF55" s="40" t="str">
        <f t="shared" si="7"/>
        <v/>
      </c>
      <c r="AG55" s="41" t="str">
        <f t="shared" si="8"/>
        <v/>
      </c>
      <c r="AH55" s="42" t="str">
        <f t="shared" si="9"/>
        <v/>
      </c>
      <c r="AI55" s="43" t="str">
        <f t="shared" si="10"/>
        <v/>
      </c>
      <c r="AJ55" s="154"/>
      <c r="AK55" s="104"/>
      <c r="AL55" s="65"/>
      <c r="AM55" s="64"/>
      <c r="AN55" s="65"/>
      <c r="AO55" s="43" t="str">
        <f t="shared" si="11"/>
        <v/>
      </c>
      <c r="AP55" s="105"/>
      <c r="AQ55" s="105"/>
      <c r="AR55" s="105"/>
      <c r="AS55" s="103"/>
      <c r="AT55" s="107"/>
      <c r="AU55" s="105"/>
      <c r="AV55" s="105"/>
      <c r="AW55" s="105"/>
      <c r="AX55" s="105"/>
      <c r="AY55" s="105"/>
    </row>
    <row r="56" ht="24.0" customHeight="1" outlineLevel="1">
      <c r="A56" s="120">
        <f t="shared" si="14"/>
        <v>55</v>
      </c>
      <c r="B56" s="26" t="s">
        <v>45</v>
      </c>
      <c r="C56" s="27">
        <v>3760756.0</v>
      </c>
      <c r="D56" s="153" t="s">
        <v>188</v>
      </c>
      <c r="E56" s="30" t="s">
        <v>50</v>
      </c>
      <c r="F56" s="30"/>
      <c r="G56" s="30" t="s">
        <v>425</v>
      </c>
      <c r="H56" s="70" t="s">
        <v>342</v>
      </c>
      <c r="I56" s="30" t="s">
        <v>343</v>
      </c>
      <c r="J56" s="30" t="s">
        <v>193</v>
      </c>
      <c r="K56" s="58">
        <v>46121.0</v>
      </c>
      <c r="L56" s="59">
        <v>46121.0</v>
      </c>
      <c r="M56" s="34">
        <v>2.0</v>
      </c>
      <c r="N56" s="34">
        <v>2.0</v>
      </c>
      <c r="O56" s="121">
        <f t="shared" ref="O56:O115" si="16">IF(AND(M56&lt;&gt;"",N56&lt;&gt;""),M56-N56,"")</f>
        <v>0</v>
      </c>
      <c r="P56" s="34">
        <v>1.0</v>
      </c>
      <c r="Q56" s="121">
        <f t="shared" ref="Q56:Q61" si="17">IF(AND(N56&lt;&gt;"",P56&lt;&gt;""),N56-P56,"")</f>
        <v>1</v>
      </c>
      <c r="R56" s="34">
        <v>2.0</v>
      </c>
      <c r="S56" s="121">
        <f t="shared" si="3"/>
        <v>0</v>
      </c>
      <c r="T56" s="33">
        <v>46121.0</v>
      </c>
      <c r="U56" s="30" t="s">
        <v>150</v>
      </c>
      <c r="V56" s="36">
        <f t="shared" si="4"/>
        <v>1</v>
      </c>
      <c r="W56" s="36">
        <f t="shared" si="5"/>
        <v>0</v>
      </c>
      <c r="X56" s="30" t="s">
        <v>426</v>
      </c>
      <c r="Y56" s="30" t="s">
        <v>427</v>
      </c>
      <c r="Z56" s="123"/>
      <c r="AA56" s="123"/>
      <c r="AB56" s="37">
        <f>IFERROR(VLOOKUP(B56,'Scheme Master'!$B$4:$C$79,2,FALSE),"")</f>
        <v>360</v>
      </c>
      <c r="AC56" s="38">
        <f t="shared" si="6"/>
        <v>720</v>
      </c>
      <c r="AD56" s="122"/>
      <c r="AE56" s="122"/>
      <c r="AF56" s="40" t="str">
        <f t="shared" si="7"/>
        <v/>
      </c>
      <c r="AG56" s="41" t="str">
        <f t="shared" si="8"/>
        <v/>
      </c>
      <c r="AH56" s="42" t="str">
        <f t="shared" si="9"/>
        <v/>
      </c>
      <c r="AI56" s="43" t="str">
        <f t="shared" si="10"/>
        <v/>
      </c>
      <c r="AJ56" s="154"/>
      <c r="AK56" s="71"/>
      <c r="AL56" s="54"/>
      <c r="AM56" s="53"/>
      <c r="AN56" s="54"/>
      <c r="AO56" s="156"/>
      <c r="AP56" s="109"/>
      <c r="AQ56" s="109"/>
      <c r="AR56" s="109"/>
      <c r="AS56" s="108"/>
      <c r="AT56" s="111"/>
      <c r="AU56" s="109"/>
      <c r="AV56" s="109"/>
      <c r="AW56" s="109"/>
      <c r="AX56" s="109"/>
      <c r="AY56" s="109"/>
    </row>
    <row r="57" ht="24.0" customHeight="1" outlineLevel="1">
      <c r="A57" s="120">
        <f t="shared" si="14"/>
        <v>56</v>
      </c>
      <c r="B57" s="55" t="s">
        <v>58</v>
      </c>
      <c r="C57" s="27" t="s">
        <v>428</v>
      </c>
      <c r="D57" s="152" t="s">
        <v>161</v>
      </c>
      <c r="E57" s="57" t="s">
        <v>377</v>
      </c>
      <c r="F57" s="57"/>
      <c r="G57" s="57" t="s">
        <v>429</v>
      </c>
      <c r="H57" s="157"/>
      <c r="I57" s="29"/>
      <c r="J57" s="29"/>
      <c r="K57" s="58">
        <v>46121.0</v>
      </c>
      <c r="L57" s="59">
        <v>46121.0</v>
      </c>
      <c r="M57" s="60">
        <v>2.0</v>
      </c>
      <c r="N57" s="60">
        <v>2.0</v>
      </c>
      <c r="O57" s="121">
        <f t="shared" si="16"/>
        <v>0</v>
      </c>
      <c r="P57" s="60">
        <v>2.0</v>
      </c>
      <c r="Q57" s="121">
        <f t="shared" si="17"/>
        <v>0</v>
      </c>
      <c r="R57" s="60">
        <v>2.0</v>
      </c>
      <c r="S57" s="121">
        <f t="shared" si="3"/>
        <v>0</v>
      </c>
      <c r="T57" s="33">
        <v>46121.0</v>
      </c>
      <c r="U57" s="57" t="s">
        <v>150</v>
      </c>
      <c r="V57" s="36">
        <f t="shared" si="4"/>
        <v>1</v>
      </c>
      <c r="W57" s="36">
        <f t="shared" si="5"/>
        <v>0</v>
      </c>
      <c r="X57" s="29"/>
      <c r="Y57" s="29"/>
      <c r="Z57" s="29"/>
      <c r="AA57" s="29"/>
      <c r="AB57" s="37">
        <f>IFERROR(VLOOKUP(B57,'Scheme Master'!$B$4:$C$79,2,FALSE),"")</f>
        <v>400</v>
      </c>
      <c r="AC57" s="38">
        <f t="shared" si="6"/>
        <v>800</v>
      </c>
      <c r="AD57" s="103"/>
      <c r="AE57" s="118"/>
      <c r="AF57" s="40" t="str">
        <f t="shared" si="7"/>
        <v/>
      </c>
      <c r="AG57" s="41" t="str">
        <f t="shared" si="8"/>
        <v/>
      </c>
      <c r="AH57" s="42" t="str">
        <f t="shared" si="9"/>
        <v/>
      </c>
      <c r="AI57" s="43" t="str">
        <f t="shared" si="10"/>
        <v/>
      </c>
      <c r="AJ57" s="154"/>
      <c r="AK57" s="104"/>
      <c r="AL57" s="65"/>
      <c r="AM57" s="64"/>
      <c r="AN57" s="65"/>
      <c r="AO57" s="43" t="str">
        <f t="shared" ref="AO57:AO65" si="18">IF(AI57="","",IF(AI57="✅ Auto-Approved","✅ Approved (Auto - Within Budget)",IF(AN57="","⏳ Awaiting Approval",IF(AN57="Approved","✅ Approved by "&amp;AL57&amp;" on "&amp;TEXT(AM57,"mm/dd/yyyy"),IF(AN57="Rejected","❌ Rejected by "&amp;AL57&amp;" - Review Expenses",IF(AN57="Pending Review","🔍 Under Review by "&amp;AL57,IF(AN57="Escalated","⬆️ Escalated - Senior Management Review","")))))))</f>
        <v/>
      </c>
      <c r="AP57" s="105"/>
      <c r="AQ57" s="105"/>
      <c r="AR57" s="105"/>
      <c r="AS57" s="103"/>
      <c r="AT57" s="107"/>
      <c r="AU57" s="105"/>
      <c r="AV57" s="105"/>
      <c r="AW57" s="105"/>
      <c r="AX57" s="105"/>
      <c r="AY57" s="105"/>
    </row>
    <row r="58" ht="24.0" customHeight="1" outlineLevel="1">
      <c r="A58" s="120">
        <f t="shared" si="14"/>
        <v>57</v>
      </c>
      <c r="B58" s="26" t="s">
        <v>58</v>
      </c>
      <c r="C58" s="27" t="s">
        <v>428</v>
      </c>
      <c r="D58" s="153" t="s">
        <v>161</v>
      </c>
      <c r="E58" s="30" t="s">
        <v>377</v>
      </c>
      <c r="F58" s="30"/>
      <c r="G58" s="30" t="s">
        <v>430</v>
      </c>
      <c r="H58" s="158"/>
      <c r="I58" s="123"/>
      <c r="J58" s="123"/>
      <c r="K58" s="58">
        <v>46121.0</v>
      </c>
      <c r="L58" s="59">
        <v>46121.0</v>
      </c>
      <c r="M58" s="34">
        <v>1.0</v>
      </c>
      <c r="N58" s="34">
        <v>1.0</v>
      </c>
      <c r="O58" s="121">
        <f t="shared" si="16"/>
        <v>0</v>
      </c>
      <c r="P58" s="34">
        <v>1.0</v>
      </c>
      <c r="Q58" s="121">
        <f t="shared" si="17"/>
        <v>0</v>
      </c>
      <c r="R58" s="34">
        <v>1.0</v>
      </c>
      <c r="S58" s="121">
        <f t="shared" si="3"/>
        <v>0</v>
      </c>
      <c r="T58" s="33">
        <v>46121.0</v>
      </c>
      <c r="U58" s="30" t="s">
        <v>150</v>
      </c>
      <c r="V58" s="36">
        <f t="shared" si="4"/>
        <v>1</v>
      </c>
      <c r="W58" s="36">
        <f t="shared" si="5"/>
        <v>0</v>
      </c>
      <c r="X58" s="123"/>
      <c r="Y58" s="123"/>
      <c r="Z58" s="123"/>
      <c r="AA58" s="123"/>
      <c r="AB58" s="37">
        <f>IFERROR(VLOOKUP(B58,'Scheme Master'!$B$4:$C$79,2,FALSE),"")</f>
        <v>400</v>
      </c>
      <c r="AC58" s="38">
        <f t="shared" si="6"/>
        <v>400</v>
      </c>
      <c r="AD58" s="108"/>
      <c r="AE58" s="122"/>
      <c r="AF58" s="40" t="str">
        <f t="shared" si="7"/>
        <v/>
      </c>
      <c r="AG58" s="41" t="str">
        <f t="shared" si="8"/>
        <v/>
      </c>
      <c r="AH58" s="42" t="str">
        <f t="shared" si="9"/>
        <v/>
      </c>
      <c r="AI58" s="43" t="str">
        <f t="shared" si="10"/>
        <v/>
      </c>
      <c r="AJ58" s="154"/>
      <c r="AK58" s="71"/>
      <c r="AL58" s="54"/>
      <c r="AM58" s="53"/>
      <c r="AN58" s="54"/>
      <c r="AO58" s="43" t="str">
        <f t="shared" si="18"/>
        <v/>
      </c>
      <c r="AP58" s="109"/>
      <c r="AQ58" s="109"/>
      <c r="AR58" s="109"/>
      <c r="AS58" s="108"/>
      <c r="AT58" s="111"/>
      <c r="AU58" s="109"/>
      <c r="AV58" s="109"/>
      <c r="AW58" s="109"/>
      <c r="AX58" s="109"/>
      <c r="AY58" s="109"/>
    </row>
    <row r="59" ht="24.0" customHeight="1" outlineLevel="1">
      <c r="A59" s="120">
        <f t="shared" si="14"/>
        <v>58</v>
      </c>
      <c r="B59" s="55" t="s">
        <v>36</v>
      </c>
      <c r="C59" s="27" t="s">
        <v>431</v>
      </c>
      <c r="D59" s="152" t="s">
        <v>161</v>
      </c>
      <c r="E59" s="57" t="s">
        <v>50</v>
      </c>
      <c r="F59" s="57"/>
      <c r="G59" s="57" t="s">
        <v>432</v>
      </c>
      <c r="H59" s="157"/>
      <c r="I59" s="29"/>
      <c r="J59" s="29"/>
      <c r="K59" s="58">
        <v>46121.0</v>
      </c>
      <c r="L59" s="59">
        <v>46121.0</v>
      </c>
      <c r="M59" s="60">
        <v>4.0</v>
      </c>
      <c r="N59" s="60">
        <v>4.0</v>
      </c>
      <c r="O59" s="121">
        <f t="shared" si="16"/>
        <v>0</v>
      </c>
      <c r="P59" s="60">
        <v>4.0</v>
      </c>
      <c r="Q59" s="121">
        <f t="shared" si="17"/>
        <v>0</v>
      </c>
      <c r="R59" s="60">
        <v>4.0</v>
      </c>
      <c r="S59" s="121">
        <f t="shared" si="3"/>
        <v>0</v>
      </c>
      <c r="T59" s="59">
        <v>46121.0</v>
      </c>
      <c r="U59" s="57" t="s">
        <v>150</v>
      </c>
      <c r="V59" s="36">
        <f t="shared" si="4"/>
        <v>1</v>
      </c>
      <c r="W59" s="36">
        <f t="shared" si="5"/>
        <v>0</v>
      </c>
      <c r="X59" s="29"/>
      <c r="Y59" s="29"/>
      <c r="Z59" s="29"/>
      <c r="AA59" s="29"/>
      <c r="AB59" s="37">
        <f>IFERROR(VLOOKUP(B59,'Scheme Master'!$B$4:$C$79,2,FALSE),"")</f>
        <v>70</v>
      </c>
      <c r="AC59" s="38">
        <f t="shared" si="6"/>
        <v>280</v>
      </c>
      <c r="AD59" s="103"/>
      <c r="AE59" s="103"/>
      <c r="AF59" s="40" t="str">
        <f t="shared" si="7"/>
        <v/>
      </c>
      <c r="AG59" s="41" t="str">
        <f t="shared" si="8"/>
        <v/>
      </c>
      <c r="AH59" s="42" t="str">
        <f t="shared" si="9"/>
        <v/>
      </c>
      <c r="AI59" s="43" t="str">
        <f t="shared" si="10"/>
        <v/>
      </c>
      <c r="AJ59" s="44" t="str">
        <f>IF(AI59="","",IF(AF59&gt;AC59,"URGENT: Expenses exceed total income. Immediate review needed.",IF(AH59&gt;0.4,"Expenses exceed 40% of income. Management approval required.","Within budget. No approval needed.")))</f>
        <v/>
      </c>
      <c r="AK59" s="104"/>
      <c r="AL59" s="65"/>
      <c r="AM59" s="64"/>
      <c r="AN59" s="65"/>
      <c r="AO59" s="43" t="str">
        <f t="shared" si="18"/>
        <v/>
      </c>
      <c r="AP59" s="105"/>
      <c r="AQ59" s="105"/>
      <c r="AR59" s="105"/>
      <c r="AS59" s="103"/>
      <c r="AT59" s="107"/>
      <c r="AU59" s="105"/>
      <c r="AV59" s="105"/>
      <c r="AW59" s="105"/>
      <c r="AX59" s="105"/>
      <c r="AY59" s="105"/>
    </row>
    <row r="60" ht="24.0" customHeight="1" outlineLevel="1">
      <c r="A60" s="120">
        <f t="shared" si="14"/>
        <v>59</v>
      </c>
      <c r="B60" s="55" t="s">
        <v>45</v>
      </c>
      <c r="C60" s="27">
        <v>3757257.0</v>
      </c>
      <c r="D60" s="152" t="s">
        <v>145</v>
      </c>
      <c r="E60" s="57" t="s">
        <v>433</v>
      </c>
      <c r="F60" s="57"/>
      <c r="G60" s="57" t="s">
        <v>146</v>
      </c>
      <c r="H60" s="31" t="s">
        <v>275</v>
      </c>
      <c r="I60" s="57" t="s">
        <v>276</v>
      </c>
      <c r="J60" s="57" t="s">
        <v>149</v>
      </c>
      <c r="K60" s="32">
        <v>46122.0</v>
      </c>
      <c r="L60" s="33">
        <v>46122.0</v>
      </c>
      <c r="M60" s="60">
        <v>19.0</v>
      </c>
      <c r="N60" s="60">
        <v>19.0</v>
      </c>
      <c r="O60" s="121">
        <f t="shared" si="16"/>
        <v>0</v>
      </c>
      <c r="P60" s="60">
        <v>9.0</v>
      </c>
      <c r="Q60" s="121">
        <f t="shared" si="17"/>
        <v>10</v>
      </c>
      <c r="R60" s="60">
        <v>19.0</v>
      </c>
      <c r="S60" s="121">
        <f t="shared" si="3"/>
        <v>0</v>
      </c>
      <c r="T60" s="33">
        <v>46122.0</v>
      </c>
      <c r="U60" s="57" t="s">
        <v>150</v>
      </c>
      <c r="V60" s="36">
        <f t="shared" si="4"/>
        <v>1</v>
      </c>
      <c r="W60" s="36">
        <f t="shared" si="5"/>
        <v>0</v>
      </c>
      <c r="X60" s="57" t="s">
        <v>434</v>
      </c>
      <c r="Y60" s="57" t="s">
        <v>435</v>
      </c>
      <c r="Z60" s="57" t="s">
        <v>436</v>
      </c>
      <c r="AA60" s="159" t="s">
        <v>279</v>
      </c>
      <c r="AB60" s="37">
        <f>IFERROR(VLOOKUP(B60,'Scheme Master'!$B$4:$C$79,2,FALSE),"")</f>
        <v>360</v>
      </c>
      <c r="AC60" s="38">
        <f t="shared" si="6"/>
        <v>6840</v>
      </c>
      <c r="AD60" s="103"/>
      <c r="AE60" s="103"/>
      <c r="AF60" s="40" t="str">
        <f t="shared" si="7"/>
        <v/>
      </c>
      <c r="AG60" s="41" t="str">
        <f t="shared" si="8"/>
        <v/>
      </c>
      <c r="AH60" s="42" t="str">
        <f t="shared" si="9"/>
        <v/>
      </c>
      <c r="AI60" s="43" t="str">
        <f t="shared" si="10"/>
        <v/>
      </c>
      <c r="AJ60" s="44"/>
      <c r="AK60" s="104"/>
      <c r="AL60" s="65"/>
      <c r="AM60" s="64"/>
      <c r="AN60" s="65"/>
      <c r="AO60" s="43" t="str">
        <f t="shared" si="18"/>
        <v/>
      </c>
      <c r="AP60" s="105"/>
      <c r="AQ60" s="105"/>
      <c r="AR60" s="105"/>
      <c r="AS60" s="103"/>
      <c r="AT60" s="107"/>
      <c r="AU60" s="105"/>
      <c r="AV60" s="105"/>
      <c r="AW60" s="105"/>
      <c r="AX60" s="105"/>
      <c r="AY60" s="105"/>
    </row>
    <row r="61" ht="24.0" customHeight="1" outlineLevel="1">
      <c r="A61" s="120">
        <f t="shared" si="14"/>
        <v>60</v>
      </c>
      <c r="B61" s="26" t="s">
        <v>45</v>
      </c>
      <c r="C61" s="27">
        <v>3757435.0</v>
      </c>
      <c r="D61" s="153" t="s">
        <v>145</v>
      </c>
      <c r="E61" s="30" t="s">
        <v>433</v>
      </c>
      <c r="F61" s="30"/>
      <c r="G61" s="30" t="s">
        <v>146</v>
      </c>
      <c r="H61" s="70" t="s">
        <v>437</v>
      </c>
      <c r="I61" s="30" t="s">
        <v>438</v>
      </c>
      <c r="J61" s="30" t="s">
        <v>439</v>
      </c>
      <c r="K61" s="32">
        <v>46122.0</v>
      </c>
      <c r="L61" s="33">
        <v>46122.0</v>
      </c>
      <c r="M61" s="34">
        <v>35.0</v>
      </c>
      <c r="N61" s="34">
        <v>26.0</v>
      </c>
      <c r="O61" s="121">
        <f t="shared" si="16"/>
        <v>9</v>
      </c>
      <c r="P61" s="34">
        <v>25.0</v>
      </c>
      <c r="Q61" s="121">
        <f t="shared" si="17"/>
        <v>1</v>
      </c>
      <c r="R61" s="34">
        <v>26.0</v>
      </c>
      <c r="S61" s="121">
        <f t="shared" si="3"/>
        <v>0</v>
      </c>
      <c r="T61" s="33">
        <v>46122.0</v>
      </c>
      <c r="U61" s="30" t="s">
        <v>150</v>
      </c>
      <c r="V61" s="36">
        <f t="shared" si="4"/>
        <v>1</v>
      </c>
      <c r="W61" s="36">
        <f t="shared" si="5"/>
        <v>0</v>
      </c>
      <c r="X61" s="30" t="s">
        <v>440</v>
      </c>
      <c r="Y61" s="30" t="s">
        <v>441</v>
      </c>
      <c r="Z61" s="30" t="s">
        <v>442</v>
      </c>
      <c r="AA61" s="30" t="s">
        <v>443</v>
      </c>
      <c r="AB61" s="37">
        <f>IFERROR(VLOOKUP(B61,'Scheme Master'!$B$4:$C$79,2,FALSE),"")</f>
        <v>360</v>
      </c>
      <c r="AC61" s="38">
        <f t="shared" si="6"/>
        <v>9360</v>
      </c>
      <c r="AD61" s="108"/>
      <c r="AE61" s="108"/>
      <c r="AF61" s="40" t="str">
        <f t="shared" si="7"/>
        <v/>
      </c>
      <c r="AG61" s="41" t="str">
        <f t="shared" si="8"/>
        <v/>
      </c>
      <c r="AH61" s="42" t="str">
        <f t="shared" si="9"/>
        <v/>
      </c>
      <c r="AI61" s="43" t="str">
        <f t="shared" si="10"/>
        <v/>
      </c>
      <c r="AJ61" s="44"/>
      <c r="AK61" s="71"/>
      <c r="AL61" s="54"/>
      <c r="AM61" s="53"/>
      <c r="AN61" s="54"/>
      <c r="AO61" s="43" t="str">
        <f t="shared" si="18"/>
        <v/>
      </c>
      <c r="AP61" s="109"/>
      <c r="AQ61" s="109"/>
      <c r="AR61" s="109"/>
      <c r="AS61" s="108"/>
      <c r="AT61" s="111"/>
      <c r="AU61" s="109"/>
      <c r="AV61" s="109"/>
      <c r="AW61" s="109"/>
      <c r="AX61" s="109"/>
      <c r="AY61" s="109"/>
    </row>
    <row r="62" ht="24.0" customHeight="1" outlineLevel="1">
      <c r="A62" s="120">
        <f t="shared" si="14"/>
        <v>61</v>
      </c>
      <c r="B62" s="160" t="s">
        <v>45</v>
      </c>
      <c r="C62" s="161">
        <v>3761243.0</v>
      </c>
      <c r="D62" s="162" t="s">
        <v>188</v>
      </c>
      <c r="E62" s="57" t="s">
        <v>433</v>
      </c>
      <c r="F62" s="57"/>
      <c r="G62" s="57" t="s">
        <v>146</v>
      </c>
      <c r="H62" s="31" t="s">
        <v>444</v>
      </c>
      <c r="I62" s="57" t="s">
        <v>445</v>
      </c>
      <c r="J62" s="57" t="s">
        <v>193</v>
      </c>
      <c r="K62" s="58">
        <v>46122.0</v>
      </c>
      <c r="L62" s="59">
        <v>46122.0</v>
      </c>
      <c r="M62" s="60">
        <v>7.0</v>
      </c>
      <c r="N62" s="60">
        <v>6.0</v>
      </c>
      <c r="O62" s="121">
        <f t="shared" si="16"/>
        <v>1</v>
      </c>
      <c r="P62" s="60">
        <v>4.0</v>
      </c>
      <c r="Q62" s="34">
        <v>2.0</v>
      </c>
      <c r="R62" s="60">
        <v>6.0</v>
      </c>
      <c r="S62" s="121">
        <f t="shared" si="3"/>
        <v>0</v>
      </c>
      <c r="T62" s="59">
        <v>46122.0</v>
      </c>
      <c r="U62" s="57" t="s">
        <v>150</v>
      </c>
      <c r="V62" s="36">
        <f t="shared" si="4"/>
        <v>1</v>
      </c>
      <c r="W62" s="36">
        <f t="shared" si="5"/>
        <v>0</v>
      </c>
      <c r="X62" s="163" t="s">
        <v>446</v>
      </c>
      <c r="Y62" s="30" t="s">
        <v>447</v>
      </c>
      <c r="Z62" s="29"/>
      <c r="AA62" s="29"/>
      <c r="AB62" s="37">
        <f>IFERROR(VLOOKUP(B62,'Scheme Master'!$B$4:$C$79,2,FALSE),"")</f>
        <v>360</v>
      </c>
      <c r="AC62" s="38">
        <f t="shared" si="6"/>
        <v>2160</v>
      </c>
      <c r="AD62" s="103"/>
      <c r="AE62" s="103"/>
      <c r="AF62" s="40" t="str">
        <f t="shared" si="7"/>
        <v/>
      </c>
      <c r="AG62" s="41" t="str">
        <f t="shared" si="8"/>
        <v/>
      </c>
      <c r="AH62" s="42" t="str">
        <f t="shared" si="9"/>
        <v/>
      </c>
      <c r="AI62" s="43" t="str">
        <f t="shared" si="10"/>
        <v/>
      </c>
      <c r="AJ62" s="154"/>
      <c r="AK62" s="104"/>
      <c r="AL62" s="65"/>
      <c r="AM62" s="64"/>
      <c r="AN62" s="65"/>
      <c r="AO62" s="43" t="str">
        <f t="shared" si="18"/>
        <v/>
      </c>
      <c r="AP62" s="105"/>
      <c r="AQ62" s="105"/>
      <c r="AR62" s="105"/>
      <c r="AS62" s="103"/>
      <c r="AT62" s="107"/>
      <c r="AU62" s="105"/>
      <c r="AV62" s="105"/>
      <c r="AW62" s="105"/>
      <c r="AX62" s="105"/>
      <c r="AY62" s="105"/>
    </row>
    <row r="63" ht="24.0" customHeight="1" outlineLevel="1">
      <c r="A63" s="120">
        <f t="shared" si="14"/>
        <v>62</v>
      </c>
      <c r="B63" s="26" t="s">
        <v>57</v>
      </c>
      <c r="C63" s="27">
        <v>3598633.0</v>
      </c>
      <c r="D63" s="153" t="s">
        <v>161</v>
      </c>
      <c r="E63" s="30" t="s">
        <v>162</v>
      </c>
      <c r="F63" s="30"/>
      <c r="G63" s="30" t="s">
        <v>354</v>
      </c>
      <c r="H63" s="70" t="s">
        <v>448</v>
      </c>
      <c r="I63" s="30" t="s">
        <v>449</v>
      </c>
      <c r="J63" s="30" t="s">
        <v>265</v>
      </c>
      <c r="K63" s="32">
        <v>46122.0</v>
      </c>
      <c r="L63" s="33">
        <v>46122.0</v>
      </c>
      <c r="M63" s="34">
        <v>29.0</v>
      </c>
      <c r="N63" s="34">
        <v>29.0</v>
      </c>
      <c r="O63" s="121">
        <f t="shared" si="16"/>
        <v>0</v>
      </c>
      <c r="P63" s="34">
        <v>25.0</v>
      </c>
      <c r="Q63" s="121">
        <f t="shared" ref="Q63:Q115" si="19">IF(AND(N63&lt;&gt;"",P63&lt;&gt;""),N63-P63,"")</f>
        <v>4</v>
      </c>
      <c r="R63" s="34">
        <v>28.0</v>
      </c>
      <c r="S63" s="121">
        <f t="shared" si="3"/>
        <v>1</v>
      </c>
      <c r="T63" s="33">
        <v>46124.0</v>
      </c>
      <c r="U63" s="30" t="s">
        <v>150</v>
      </c>
      <c r="V63" s="36">
        <f t="shared" si="4"/>
        <v>0.9655172414</v>
      </c>
      <c r="W63" s="36">
        <f t="shared" si="5"/>
        <v>0.03448275862</v>
      </c>
      <c r="X63" s="30" t="s">
        <v>212</v>
      </c>
      <c r="Y63" s="30" t="s">
        <v>213</v>
      </c>
      <c r="Z63" s="164" t="s">
        <v>450</v>
      </c>
      <c r="AA63" s="164" t="s">
        <v>451</v>
      </c>
      <c r="AB63" s="37">
        <f>IFERROR(VLOOKUP(B63,'Scheme Master'!$B$4:$C$79,2,FALSE),"")</f>
        <v>400</v>
      </c>
      <c r="AC63" s="38">
        <f t="shared" si="6"/>
        <v>11600</v>
      </c>
      <c r="AD63" s="108"/>
      <c r="AE63" s="108"/>
      <c r="AF63" s="40" t="str">
        <f t="shared" si="7"/>
        <v/>
      </c>
      <c r="AG63" s="41" t="str">
        <f t="shared" si="8"/>
        <v/>
      </c>
      <c r="AH63" s="42" t="str">
        <f t="shared" si="9"/>
        <v/>
      </c>
      <c r="AI63" s="43" t="str">
        <f t="shared" si="10"/>
        <v/>
      </c>
      <c r="AJ63" s="154"/>
      <c r="AK63" s="71"/>
      <c r="AL63" s="54"/>
      <c r="AM63" s="53"/>
      <c r="AN63" s="54"/>
      <c r="AO63" s="43" t="str">
        <f t="shared" si="18"/>
        <v/>
      </c>
      <c r="AP63" s="109"/>
      <c r="AQ63" s="109"/>
      <c r="AR63" s="109"/>
      <c r="AS63" s="108"/>
      <c r="AT63" s="111"/>
      <c r="AU63" s="109"/>
      <c r="AV63" s="109"/>
      <c r="AW63" s="109"/>
      <c r="AX63" s="109"/>
      <c r="AY63" s="109"/>
    </row>
    <row r="64" ht="29.25" customHeight="1" outlineLevel="1">
      <c r="A64" s="120">
        <f t="shared" si="14"/>
        <v>63</v>
      </c>
      <c r="B64" s="26" t="s">
        <v>13</v>
      </c>
      <c r="C64" s="27">
        <v>3733185.0</v>
      </c>
      <c r="D64" s="153" t="s">
        <v>161</v>
      </c>
      <c r="E64" s="30" t="s">
        <v>178</v>
      </c>
      <c r="F64" s="30"/>
      <c r="G64" s="30" t="s">
        <v>308</v>
      </c>
      <c r="H64" s="70" t="s">
        <v>452</v>
      </c>
      <c r="I64" s="30" t="s">
        <v>453</v>
      </c>
      <c r="J64" s="30" t="s">
        <v>258</v>
      </c>
      <c r="K64" s="32">
        <v>46123.0</v>
      </c>
      <c r="L64" s="33">
        <v>46124.0</v>
      </c>
      <c r="M64" s="34">
        <v>30.0</v>
      </c>
      <c r="N64" s="34">
        <v>28.0</v>
      </c>
      <c r="O64" s="121">
        <f t="shared" si="16"/>
        <v>2</v>
      </c>
      <c r="P64" s="34">
        <v>28.0</v>
      </c>
      <c r="Q64" s="121">
        <f t="shared" si="19"/>
        <v>0</v>
      </c>
      <c r="R64" s="34">
        <v>26.0</v>
      </c>
      <c r="S64" s="121">
        <f t="shared" si="3"/>
        <v>2</v>
      </c>
      <c r="T64" s="33">
        <v>46128.0</v>
      </c>
      <c r="U64" s="30" t="s">
        <v>150</v>
      </c>
      <c r="V64" s="165">
        <f t="shared" si="4"/>
        <v>0.9285714286</v>
      </c>
      <c r="W64" s="165">
        <f t="shared" si="5"/>
        <v>0.07142857143</v>
      </c>
      <c r="X64" s="30" t="s">
        <v>454</v>
      </c>
      <c r="Y64" s="30" t="s">
        <v>455</v>
      </c>
      <c r="Z64" s="123"/>
      <c r="AA64" s="123"/>
      <c r="AB64" s="37">
        <f>IFERROR(VLOOKUP(B64,'Scheme Master'!$B$4:$C$79,2,FALSE),"")</f>
        <v>540</v>
      </c>
      <c r="AC64" s="38">
        <f t="shared" si="6"/>
        <v>15120</v>
      </c>
      <c r="AD64" s="108"/>
      <c r="AE64" s="108"/>
      <c r="AF64" s="40" t="str">
        <f t="shared" si="7"/>
        <v/>
      </c>
      <c r="AG64" s="41" t="str">
        <f t="shared" si="8"/>
        <v/>
      </c>
      <c r="AH64" s="42" t="str">
        <f t="shared" si="9"/>
        <v/>
      </c>
      <c r="AI64" s="43" t="str">
        <f t="shared" si="10"/>
        <v/>
      </c>
      <c r="AJ64" s="44"/>
      <c r="AK64" s="71"/>
      <c r="AL64" s="54"/>
      <c r="AM64" s="53"/>
      <c r="AN64" s="54"/>
      <c r="AO64" s="43" t="str">
        <f t="shared" si="18"/>
        <v/>
      </c>
      <c r="AP64" s="109"/>
      <c r="AQ64" s="109"/>
      <c r="AR64" s="109"/>
      <c r="AS64" s="108"/>
      <c r="AT64" s="111"/>
      <c r="AU64" s="109"/>
      <c r="AV64" s="109"/>
      <c r="AW64" s="109"/>
      <c r="AX64" s="109"/>
      <c r="AY64" s="109"/>
    </row>
    <row r="65" ht="21.75" customHeight="1" outlineLevel="1">
      <c r="A65" s="120">
        <f t="shared" si="14"/>
        <v>64</v>
      </c>
      <c r="B65" s="55" t="s">
        <v>57</v>
      </c>
      <c r="C65" s="27">
        <v>3730142.0</v>
      </c>
      <c r="D65" s="152" t="s">
        <v>456</v>
      </c>
      <c r="E65" s="30" t="s">
        <v>162</v>
      </c>
      <c r="F65" s="57"/>
      <c r="G65" s="57" t="s">
        <v>457</v>
      </c>
      <c r="H65" s="31" t="s">
        <v>458</v>
      </c>
      <c r="I65" s="57" t="s">
        <v>284</v>
      </c>
      <c r="J65" s="57" t="s">
        <v>285</v>
      </c>
      <c r="K65" s="32">
        <v>46122.0</v>
      </c>
      <c r="L65" s="33">
        <v>46122.0</v>
      </c>
      <c r="M65" s="60">
        <v>2.0</v>
      </c>
      <c r="N65" s="60">
        <v>1.0</v>
      </c>
      <c r="O65" s="121">
        <f t="shared" si="16"/>
        <v>1</v>
      </c>
      <c r="P65" s="60">
        <v>1.0</v>
      </c>
      <c r="Q65" s="121">
        <f t="shared" si="19"/>
        <v>0</v>
      </c>
      <c r="R65" s="60">
        <v>1.0</v>
      </c>
      <c r="S65" s="121">
        <f t="shared" si="3"/>
        <v>0</v>
      </c>
      <c r="T65" s="59">
        <v>46122.0</v>
      </c>
      <c r="U65" s="57" t="s">
        <v>150</v>
      </c>
      <c r="V65" s="36">
        <f t="shared" si="4"/>
        <v>1</v>
      </c>
      <c r="W65" s="36">
        <f t="shared" si="5"/>
        <v>0</v>
      </c>
      <c r="X65" s="30" t="s">
        <v>459</v>
      </c>
      <c r="Y65" s="30" t="s">
        <v>460</v>
      </c>
      <c r="Z65" s="30" t="s">
        <v>461</v>
      </c>
      <c r="AA65" s="30" t="s">
        <v>462</v>
      </c>
      <c r="AB65" s="37">
        <f>IFERROR(VLOOKUP(B65,'Scheme Master'!$B$4:$C$79,2,FALSE),"")</f>
        <v>400</v>
      </c>
      <c r="AC65" s="38">
        <f t="shared" si="6"/>
        <v>400</v>
      </c>
      <c r="AD65" s="103"/>
      <c r="AE65" s="103"/>
      <c r="AF65" s="40" t="str">
        <f t="shared" si="7"/>
        <v/>
      </c>
      <c r="AG65" s="41" t="str">
        <f t="shared" si="8"/>
        <v/>
      </c>
      <c r="AH65" s="42" t="str">
        <f t="shared" si="9"/>
        <v/>
      </c>
      <c r="AI65" s="43" t="str">
        <f t="shared" si="10"/>
        <v/>
      </c>
      <c r="AJ65" s="154"/>
      <c r="AK65" s="104"/>
      <c r="AL65" s="65"/>
      <c r="AM65" s="64"/>
      <c r="AN65" s="65"/>
      <c r="AO65" s="43" t="str">
        <f t="shared" si="18"/>
        <v/>
      </c>
      <c r="AP65" s="105"/>
      <c r="AQ65" s="105"/>
      <c r="AR65" s="105"/>
      <c r="AS65" s="103"/>
      <c r="AT65" s="107"/>
      <c r="AU65" s="105"/>
      <c r="AV65" s="105"/>
      <c r="AW65" s="105"/>
      <c r="AX65" s="105"/>
      <c r="AY65" s="105"/>
    </row>
    <row r="66" ht="21.75" customHeight="1" outlineLevel="1">
      <c r="A66" s="120">
        <f t="shared" si="14"/>
        <v>65</v>
      </c>
      <c r="B66" s="26" t="s">
        <v>57</v>
      </c>
      <c r="C66" s="27">
        <v>3730139.0</v>
      </c>
      <c r="D66" s="153" t="s">
        <v>456</v>
      </c>
      <c r="E66" s="30" t="s">
        <v>162</v>
      </c>
      <c r="F66" s="30"/>
      <c r="G66" s="30" t="s">
        <v>457</v>
      </c>
      <c r="H66" s="70" t="s">
        <v>458</v>
      </c>
      <c r="I66" s="30" t="s">
        <v>284</v>
      </c>
      <c r="J66" s="30" t="s">
        <v>285</v>
      </c>
      <c r="K66" s="32">
        <v>46122.0</v>
      </c>
      <c r="L66" s="33">
        <v>46122.0</v>
      </c>
      <c r="M66" s="34">
        <v>8.0</v>
      </c>
      <c r="N66" s="34">
        <v>4.0</v>
      </c>
      <c r="O66" s="121">
        <f t="shared" si="16"/>
        <v>4</v>
      </c>
      <c r="P66" s="34">
        <v>4.0</v>
      </c>
      <c r="Q66" s="121">
        <f t="shared" si="19"/>
        <v>0</v>
      </c>
      <c r="R66" s="34">
        <v>4.0</v>
      </c>
      <c r="S66" s="121">
        <f t="shared" si="3"/>
        <v>0</v>
      </c>
      <c r="T66" s="59">
        <v>46122.0</v>
      </c>
      <c r="U66" s="30" t="s">
        <v>150</v>
      </c>
      <c r="V66" s="36">
        <f t="shared" si="4"/>
        <v>1</v>
      </c>
      <c r="W66" s="36">
        <f t="shared" si="5"/>
        <v>0</v>
      </c>
      <c r="X66" s="166" t="s">
        <v>463</v>
      </c>
      <c r="Y66" s="167" t="s">
        <v>168</v>
      </c>
      <c r="Z66" s="30" t="s">
        <v>461</v>
      </c>
      <c r="AA66" s="30" t="s">
        <v>462</v>
      </c>
      <c r="AB66" s="37">
        <f>IFERROR(VLOOKUP(B66,'Scheme Master'!$B$4:$C$79,2,FALSE),"")</f>
        <v>400</v>
      </c>
      <c r="AC66" s="38">
        <f t="shared" si="6"/>
        <v>1600</v>
      </c>
      <c r="AD66" s="108"/>
      <c r="AE66" s="108"/>
      <c r="AF66" s="40" t="str">
        <f t="shared" si="7"/>
        <v/>
      </c>
      <c r="AG66" s="41" t="str">
        <f t="shared" si="8"/>
        <v/>
      </c>
      <c r="AH66" s="42" t="str">
        <f t="shared" si="9"/>
        <v/>
      </c>
      <c r="AI66" s="43" t="str">
        <f t="shared" si="10"/>
        <v/>
      </c>
      <c r="AJ66" s="154"/>
      <c r="AK66" s="71"/>
      <c r="AL66" s="54"/>
      <c r="AM66" s="53"/>
      <c r="AN66" s="54"/>
      <c r="AO66" s="156"/>
      <c r="AP66" s="109"/>
      <c r="AQ66" s="109"/>
      <c r="AR66" s="109"/>
      <c r="AS66" s="108"/>
      <c r="AT66" s="111"/>
      <c r="AU66" s="109"/>
      <c r="AV66" s="109"/>
      <c r="AW66" s="109"/>
      <c r="AX66" s="109"/>
      <c r="AY66" s="109"/>
    </row>
    <row r="67" ht="21.75" customHeight="1" outlineLevel="1">
      <c r="A67" s="120">
        <f t="shared" si="14"/>
        <v>66</v>
      </c>
      <c r="B67" s="55" t="s">
        <v>57</v>
      </c>
      <c r="C67" s="27">
        <v>3736098.0</v>
      </c>
      <c r="D67" s="152" t="s">
        <v>456</v>
      </c>
      <c r="E67" s="30" t="s">
        <v>162</v>
      </c>
      <c r="F67" s="57"/>
      <c r="G67" s="57" t="s">
        <v>457</v>
      </c>
      <c r="H67" s="31" t="s">
        <v>458</v>
      </c>
      <c r="I67" s="57" t="s">
        <v>284</v>
      </c>
      <c r="J67" s="57" t="s">
        <v>285</v>
      </c>
      <c r="K67" s="32">
        <v>46122.0</v>
      </c>
      <c r="L67" s="33">
        <v>46122.0</v>
      </c>
      <c r="M67" s="60">
        <v>12.0</v>
      </c>
      <c r="N67" s="60">
        <v>10.0</v>
      </c>
      <c r="O67" s="121">
        <f t="shared" si="16"/>
        <v>2</v>
      </c>
      <c r="P67" s="60">
        <v>10.0</v>
      </c>
      <c r="Q67" s="121">
        <f t="shared" si="19"/>
        <v>0</v>
      </c>
      <c r="R67" s="60">
        <v>10.0</v>
      </c>
      <c r="S67" s="121">
        <f t="shared" si="3"/>
        <v>0</v>
      </c>
      <c r="T67" s="59">
        <v>46122.0</v>
      </c>
      <c r="U67" s="57" t="s">
        <v>150</v>
      </c>
      <c r="V67" s="36">
        <f t="shared" si="4"/>
        <v>1</v>
      </c>
      <c r="W67" s="36">
        <f t="shared" si="5"/>
        <v>0</v>
      </c>
      <c r="X67" s="30" t="s">
        <v>318</v>
      </c>
      <c r="Y67" s="30" t="s">
        <v>319</v>
      </c>
      <c r="Z67" s="30" t="s">
        <v>461</v>
      </c>
      <c r="AA67" s="30" t="s">
        <v>462</v>
      </c>
      <c r="AB67" s="37">
        <f>IFERROR(VLOOKUP(B67,'Scheme Master'!$B$4:$C$79,2,FALSE),"")</f>
        <v>400</v>
      </c>
      <c r="AC67" s="38">
        <f t="shared" si="6"/>
        <v>4000</v>
      </c>
      <c r="AD67" s="118">
        <v>2000.0</v>
      </c>
      <c r="AE67" s="61">
        <v>1000.0</v>
      </c>
      <c r="AF67" s="40">
        <f t="shared" si="7"/>
        <v>3000</v>
      </c>
      <c r="AG67" s="41">
        <f t="shared" si="8"/>
        <v>1000</v>
      </c>
      <c r="AH67" s="42">
        <f t="shared" si="9"/>
        <v>0.75</v>
      </c>
      <c r="AI67" s="43" t="str">
        <f t="shared" si="10"/>
        <v>⚠️ Approval Required</v>
      </c>
      <c r="AJ67" s="154" t="s">
        <v>415</v>
      </c>
      <c r="AK67" s="56" t="s">
        <v>155</v>
      </c>
      <c r="AL67" s="65"/>
      <c r="AM67" s="64"/>
      <c r="AN67" s="65"/>
      <c r="AO67" s="156"/>
      <c r="AP67" s="105"/>
      <c r="AQ67" s="105"/>
      <c r="AR67" s="105"/>
      <c r="AS67" s="103"/>
      <c r="AT67" s="107"/>
      <c r="AU67" s="105"/>
      <c r="AV67" s="105"/>
      <c r="AW67" s="105"/>
      <c r="AX67" s="105"/>
      <c r="AY67" s="105"/>
    </row>
    <row r="68" ht="21.75" customHeight="1" outlineLevel="1">
      <c r="A68" s="120">
        <f t="shared" si="14"/>
        <v>67</v>
      </c>
      <c r="B68" s="168" t="s">
        <v>45</v>
      </c>
      <c r="C68" s="161">
        <v>3759939.0</v>
      </c>
      <c r="D68" s="169" t="s">
        <v>188</v>
      </c>
      <c r="E68" s="30" t="s">
        <v>189</v>
      </c>
      <c r="F68" s="30"/>
      <c r="G68" s="30" t="s">
        <v>197</v>
      </c>
      <c r="H68" s="70" t="s">
        <v>203</v>
      </c>
      <c r="I68" s="30" t="s">
        <v>464</v>
      </c>
      <c r="J68" s="30" t="s">
        <v>465</v>
      </c>
      <c r="K68" s="32">
        <v>46122.0</v>
      </c>
      <c r="L68" s="33">
        <v>46122.0</v>
      </c>
      <c r="M68" s="34">
        <v>15.0</v>
      </c>
      <c r="N68" s="34">
        <v>14.0</v>
      </c>
      <c r="O68" s="121">
        <f t="shared" si="16"/>
        <v>1</v>
      </c>
      <c r="P68" s="34">
        <v>1.0</v>
      </c>
      <c r="Q68" s="121">
        <f t="shared" si="19"/>
        <v>13</v>
      </c>
      <c r="R68" s="34">
        <v>14.0</v>
      </c>
      <c r="S68" s="121">
        <f t="shared" si="3"/>
        <v>0</v>
      </c>
      <c r="T68" s="33">
        <v>46122.0</v>
      </c>
      <c r="U68" s="30" t="s">
        <v>150</v>
      </c>
      <c r="V68" s="36">
        <f t="shared" si="4"/>
        <v>1</v>
      </c>
      <c r="W68" s="36">
        <f t="shared" si="5"/>
        <v>0</v>
      </c>
      <c r="X68" s="170" t="s">
        <v>466</v>
      </c>
      <c r="Y68" s="30" t="s">
        <v>467</v>
      </c>
      <c r="Z68" s="30" t="s">
        <v>466</v>
      </c>
      <c r="AA68" s="30" t="s">
        <v>468</v>
      </c>
      <c r="AB68" s="37">
        <f>IFERROR(VLOOKUP(B68,'Scheme Master'!$B$4:$C$79,2,FALSE),"")</f>
        <v>360</v>
      </c>
      <c r="AC68" s="38">
        <f t="shared" si="6"/>
        <v>5040</v>
      </c>
      <c r="AD68" s="108"/>
      <c r="AE68" s="122"/>
      <c r="AF68" s="40" t="str">
        <f t="shared" si="7"/>
        <v/>
      </c>
      <c r="AG68" s="41" t="str">
        <f t="shared" si="8"/>
        <v/>
      </c>
      <c r="AH68" s="42" t="str">
        <f t="shared" si="9"/>
        <v/>
      </c>
      <c r="AI68" s="43" t="str">
        <f t="shared" si="10"/>
        <v/>
      </c>
      <c r="AJ68" s="154"/>
      <c r="AK68" s="71"/>
      <c r="AL68" s="54"/>
      <c r="AM68" s="53"/>
      <c r="AN68" s="54"/>
      <c r="AO68" s="43" t="str">
        <f t="shared" ref="AO68:AO115" si="20">IF(AI68="","",IF(AI68="✅ Auto-Approved","✅ Approved (Auto - Within Budget)",IF(AN68="","⏳ Awaiting Approval",IF(AN68="Approved","✅ Approved by "&amp;AL68&amp;" on "&amp;TEXT(AM68,"mm/dd/yyyy"),IF(AN68="Rejected","❌ Rejected by "&amp;AL68&amp;" - Review Expenses",IF(AN68="Pending Review","🔍 Under Review by "&amp;AL68,IF(AN68="Escalated","⬆️ Escalated - Senior Management Review","")))))))</f>
        <v/>
      </c>
      <c r="AP68" s="109"/>
      <c r="AQ68" s="109"/>
      <c r="AR68" s="109"/>
      <c r="AS68" s="108"/>
      <c r="AT68" s="111"/>
      <c r="AU68" s="109"/>
      <c r="AV68" s="109"/>
      <c r="AW68" s="109"/>
      <c r="AX68" s="109"/>
      <c r="AY68" s="109"/>
    </row>
    <row r="69" ht="21.75" customHeight="1" outlineLevel="1">
      <c r="A69" s="120">
        <f t="shared" si="14"/>
        <v>68</v>
      </c>
      <c r="B69" s="160" t="s">
        <v>61</v>
      </c>
      <c r="C69" s="161" t="s">
        <v>469</v>
      </c>
      <c r="D69" s="162" t="s">
        <v>161</v>
      </c>
      <c r="E69" s="57" t="s">
        <v>377</v>
      </c>
      <c r="F69" s="57"/>
      <c r="G69" s="57" t="s">
        <v>470</v>
      </c>
      <c r="H69" s="157"/>
      <c r="I69" s="29"/>
      <c r="J69" s="29"/>
      <c r="K69" s="58">
        <v>46122.0</v>
      </c>
      <c r="L69" s="59">
        <v>46122.0</v>
      </c>
      <c r="M69" s="60">
        <v>2.0</v>
      </c>
      <c r="N69" s="60">
        <v>2.0</v>
      </c>
      <c r="O69" s="121">
        <f t="shared" si="16"/>
        <v>0</v>
      </c>
      <c r="P69" s="60">
        <v>0.0</v>
      </c>
      <c r="Q69" s="121">
        <f t="shared" si="19"/>
        <v>2</v>
      </c>
      <c r="R69" s="60">
        <v>0.0</v>
      </c>
      <c r="S69" s="121">
        <f t="shared" si="3"/>
        <v>2</v>
      </c>
      <c r="T69" s="59">
        <v>46122.0</v>
      </c>
      <c r="U69" s="57" t="s">
        <v>150</v>
      </c>
      <c r="V69" s="36">
        <f t="shared" si="4"/>
        <v>0</v>
      </c>
      <c r="W69" s="36">
        <f t="shared" si="5"/>
        <v>1</v>
      </c>
      <c r="X69" s="29"/>
      <c r="Y69" s="29"/>
      <c r="Z69" s="29"/>
      <c r="AA69" s="29"/>
      <c r="AB69" s="37">
        <f>IFERROR(VLOOKUP(B69,'Scheme Master'!$B$4:$C$79,2,FALSE),"")</f>
        <v>400</v>
      </c>
      <c r="AC69" s="38">
        <f t="shared" si="6"/>
        <v>800</v>
      </c>
      <c r="AD69" s="103"/>
      <c r="AE69" s="103"/>
      <c r="AF69" s="40" t="str">
        <f t="shared" si="7"/>
        <v/>
      </c>
      <c r="AG69" s="41" t="str">
        <f t="shared" si="8"/>
        <v/>
      </c>
      <c r="AH69" s="42" t="str">
        <f t="shared" si="9"/>
        <v/>
      </c>
      <c r="AI69" s="43" t="str">
        <f t="shared" si="10"/>
        <v/>
      </c>
      <c r="AJ69" s="44"/>
      <c r="AK69" s="104"/>
      <c r="AL69" s="65"/>
      <c r="AM69" s="64"/>
      <c r="AN69" s="65"/>
      <c r="AO69" s="43" t="str">
        <f t="shared" si="20"/>
        <v/>
      </c>
      <c r="AP69" s="105"/>
      <c r="AQ69" s="105"/>
      <c r="AR69" s="105"/>
      <c r="AS69" s="103"/>
      <c r="AT69" s="107"/>
      <c r="AU69" s="105"/>
      <c r="AV69" s="105"/>
      <c r="AW69" s="105"/>
      <c r="AX69" s="105"/>
      <c r="AY69" s="105"/>
    </row>
    <row r="70" ht="21.75" customHeight="1" outlineLevel="1">
      <c r="A70" s="120">
        <f t="shared" si="14"/>
        <v>69</v>
      </c>
      <c r="B70" s="55" t="s">
        <v>45</v>
      </c>
      <c r="C70" s="27">
        <v>3760292.0</v>
      </c>
      <c r="D70" s="152" t="s">
        <v>145</v>
      </c>
      <c r="E70" s="30" t="s">
        <v>433</v>
      </c>
      <c r="F70" s="30"/>
      <c r="G70" s="30" t="s">
        <v>146</v>
      </c>
      <c r="H70" s="70" t="s">
        <v>397</v>
      </c>
      <c r="I70" s="57" t="s">
        <v>398</v>
      </c>
      <c r="J70" s="57" t="s">
        <v>149</v>
      </c>
      <c r="K70" s="58">
        <v>46126.0</v>
      </c>
      <c r="L70" s="59">
        <v>46126.0</v>
      </c>
      <c r="M70" s="60">
        <v>25.0</v>
      </c>
      <c r="N70" s="60">
        <v>24.0</v>
      </c>
      <c r="O70" s="121">
        <f t="shared" si="16"/>
        <v>1</v>
      </c>
      <c r="P70" s="60">
        <v>24.0</v>
      </c>
      <c r="Q70" s="121">
        <f t="shared" si="19"/>
        <v>0</v>
      </c>
      <c r="R70" s="60">
        <v>24.0</v>
      </c>
      <c r="S70" s="121">
        <f t="shared" si="3"/>
        <v>0</v>
      </c>
      <c r="T70" s="59">
        <v>46126.0</v>
      </c>
      <c r="U70" s="57" t="s">
        <v>150</v>
      </c>
      <c r="V70" s="36">
        <f t="shared" si="4"/>
        <v>1</v>
      </c>
      <c r="W70" s="36">
        <f t="shared" si="5"/>
        <v>0</v>
      </c>
      <c r="X70" s="57" t="s">
        <v>471</v>
      </c>
      <c r="Y70" s="57" t="s">
        <v>152</v>
      </c>
      <c r="Z70" s="57" t="s">
        <v>472</v>
      </c>
      <c r="AA70" s="57" t="s">
        <v>473</v>
      </c>
      <c r="AB70" s="37">
        <f>IFERROR(VLOOKUP(B70,'Scheme Master'!$B$4:$C$79,2,FALSE),"")</f>
        <v>360</v>
      </c>
      <c r="AC70" s="38">
        <f t="shared" si="6"/>
        <v>8640</v>
      </c>
      <c r="AD70" s="118">
        <v>2000.0</v>
      </c>
      <c r="AE70" s="61">
        <v>1000.0</v>
      </c>
      <c r="AF70" s="40">
        <f t="shared" si="7"/>
        <v>3000</v>
      </c>
      <c r="AG70" s="41">
        <f t="shared" si="8"/>
        <v>5640</v>
      </c>
      <c r="AH70" s="42">
        <f t="shared" si="9"/>
        <v>0.3472222222</v>
      </c>
      <c r="AI70" s="43" t="str">
        <f t="shared" si="10"/>
        <v>✅ Auto-Approved</v>
      </c>
      <c r="AJ70" s="44"/>
      <c r="AK70" s="56" t="s">
        <v>155</v>
      </c>
      <c r="AL70" s="65"/>
      <c r="AM70" s="64"/>
      <c r="AN70" s="63" t="s">
        <v>157</v>
      </c>
      <c r="AO70" s="43" t="str">
        <f t="shared" si="20"/>
        <v>✅ Approved (Auto - Within Budget)</v>
      </c>
      <c r="AP70" s="105"/>
      <c r="AQ70" s="105"/>
      <c r="AR70" s="105"/>
      <c r="AS70" s="103"/>
      <c r="AT70" s="107"/>
      <c r="AU70" s="105"/>
      <c r="AV70" s="105"/>
      <c r="AW70" s="105"/>
      <c r="AX70" s="105"/>
      <c r="AY70" s="105"/>
    </row>
    <row r="71" ht="21.75" customHeight="1" outlineLevel="1">
      <c r="A71" s="150">
        <f t="shared" si="14"/>
        <v>70</v>
      </c>
      <c r="B71" s="171" t="s">
        <v>14</v>
      </c>
      <c r="C71" s="76">
        <v>3662886.0</v>
      </c>
      <c r="D71" s="172" t="s">
        <v>207</v>
      </c>
      <c r="E71" s="76" t="s">
        <v>178</v>
      </c>
      <c r="F71" s="76"/>
      <c r="G71" s="76" t="s">
        <v>300</v>
      </c>
      <c r="H71" s="77" t="s">
        <v>416</v>
      </c>
      <c r="I71" s="76" t="s">
        <v>474</v>
      </c>
      <c r="J71" s="76" t="s">
        <v>418</v>
      </c>
      <c r="K71" s="173">
        <v>46123.0</v>
      </c>
      <c r="L71" s="76" t="s">
        <v>475</v>
      </c>
      <c r="M71" s="79">
        <v>30.0</v>
      </c>
      <c r="N71" s="174"/>
      <c r="O71" s="121" t="str">
        <f t="shared" si="16"/>
        <v/>
      </c>
      <c r="P71" s="174"/>
      <c r="Q71" s="121" t="str">
        <f t="shared" si="19"/>
        <v/>
      </c>
      <c r="R71" s="174"/>
      <c r="S71" s="121" t="str">
        <f t="shared" si="3"/>
        <v/>
      </c>
      <c r="T71" s="175"/>
      <c r="U71" s="29"/>
      <c r="V71" s="165" t="str">
        <f t="shared" si="4"/>
        <v/>
      </c>
      <c r="W71" s="165" t="str">
        <f t="shared" si="5"/>
        <v/>
      </c>
      <c r="X71" s="57" t="s">
        <v>476</v>
      </c>
      <c r="Y71" s="57" t="s">
        <v>422</v>
      </c>
      <c r="Z71" s="29"/>
      <c r="AA71" s="29"/>
      <c r="AB71" s="37">
        <f>IFERROR(VLOOKUP(B71,'Scheme Master'!$B$4:$C$79,2,FALSE),"")</f>
        <v>720</v>
      </c>
      <c r="AC71" s="38" t="str">
        <f t="shared" si="6"/>
        <v/>
      </c>
      <c r="AD71" s="103"/>
      <c r="AE71" s="103"/>
      <c r="AF71" s="40" t="str">
        <f t="shared" si="7"/>
        <v/>
      </c>
      <c r="AG71" s="41" t="str">
        <f t="shared" si="8"/>
        <v/>
      </c>
      <c r="AH71" s="42" t="str">
        <f t="shared" si="9"/>
        <v/>
      </c>
      <c r="AI71" s="43" t="str">
        <f t="shared" si="10"/>
        <v/>
      </c>
      <c r="AJ71" s="44"/>
      <c r="AK71" s="104"/>
      <c r="AL71" s="65"/>
      <c r="AM71" s="64"/>
      <c r="AN71" s="65"/>
      <c r="AO71" s="43" t="str">
        <f t="shared" si="20"/>
        <v/>
      </c>
      <c r="AP71" s="105"/>
      <c r="AQ71" s="105"/>
      <c r="AR71" s="105"/>
      <c r="AS71" s="103"/>
      <c r="AT71" s="107"/>
      <c r="AU71" s="105"/>
      <c r="AV71" s="105"/>
      <c r="AW71" s="105"/>
      <c r="AX71" s="105"/>
      <c r="AY71" s="105"/>
    </row>
    <row r="72" ht="21.75" customHeight="1" outlineLevel="1">
      <c r="A72" s="120">
        <f t="shared" si="14"/>
        <v>71</v>
      </c>
      <c r="B72" s="168" t="s">
        <v>14</v>
      </c>
      <c r="C72" s="161">
        <v>3652313.0</v>
      </c>
      <c r="D72" s="169" t="s">
        <v>207</v>
      </c>
      <c r="E72" s="30" t="s">
        <v>178</v>
      </c>
      <c r="F72" s="30"/>
      <c r="G72" s="30" t="s">
        <v>300</v>
      </c>
      <c r="H72" s="70" t="s">
        <v>416</v>
      </c>
      <c r="I72" s="30" t="s">
        <v>417</v>
      </c>
      <c r="J72" s="30" t="s">
        <v>418</v>
      </c>
      <c r="K72" s="59">
        <v>46123.0</v>
      </c>
      <c r="L72" s="59">
        <v>46124.0</v>
      </c>
      <c r="M72" s="34">
        <v>30.0</v>
      </c>
      <c r="N72" s="34">
        <v>20.0</v>
      </c>
      <c r="O72" s="121">
        <f t="shared" si="16"/>
        <v>10</v>
      </c>
      <c r="P72" s="34">
        <v>20.0</v>
      </c>
      <c r="Q72" s="121">
        <f t="shared" si="19"/>
        <v>0</v>
      </c>
      <c r="R72" s="34">
        <v>20.0</v>
      </c>
      <c r="S72" s="121">
        <f t="shared" si="3"/>
        <v>0</v>
      </c>
      <c r="T72" s="33">
        <v>46128.0</v>
      </c>
      <c r="U72" s="30" t="s">
        <v>150</v>
      </c>
      <c r="V72" s="165">
        <f t="shared" si="4"/>
        <v>1</v>
      </c>
      <c r="W72" s="165">
        <f t="shared" si="5"/>
        <v>0</v>
      </c>
      <c r="X72" s="57" t="s">
        <v>476</v>
      </c>
      <c r="Y72" s="57" t="s">
        <v>422</v>
      </c>
      <c r="Z72" s="123"/>
      <c r="AA72" s="123"/>
      <c r="AB72" s="37">
        <f>IFERROR(VLOOKUP(B72,'Scheme Master'!$B$4:$C$79,2,FALSE),"")</f>
        <v>720</v>
      </c>
      <c r="AC72" s="38">
        <f t="shared" si="6"/>
        <v>14400</v>
      </c>
      <c r="AD72" s="108"/>
      <c r="AE72" s="108"/>
      <c r="AF72" s="40" t="str">
        <f t="shared" si="7"/>
        <v/>
      </c>
      <c r="AG72" s="41" t="str">
        <f t="shared" si="8"/>
        <v/>
      </c>
      <c r="AH72" s="42" t="str">
        <f t="shared" si="9"/>
        <v/>
      </c>
      <c r="AI72" s="43" t="str">
        <f t="shared" si="10"/>
        <v/>
      </c>
      <c r="AJ72" s="44"/>
      <c r="AK72" s="71"/>
      <c r="AL72" s="54"/>
      <c r="AM72" s="53"/>
      <c r="AN72" s="54"/>
      <c r="AO72" s="43" t="str">
        <f t="shared" si="20"/>
        <v/>
      </c>
      <c r="AP72" s="109"/>
      <c r="AQ72" s="109"/>
      <c r="AR72" s="109"/>
      <c r="AS72" s="108"/>
      <c r="AT72" s="111"/>
      <c r="AU72" s="109"/>
      <c r="AV72" s="109"/>
      <c r="AW72" s="109"/>
      <c r="AX72" s="109"/>
      <c r="AY72" s="109"/>
    </row>
    <row r="73" ht="21.75" customHeight="1" outlineLevel="1">
      <c r="A73" s="120">
        <f t="shared" si="14"/>
        <v>72</v>
      </c>
      <c r="B73" s="160" t="s">
        <v>14</v>
      </c>
      <c r="C73" s="161">
        <v>3713839.0</v>
      </c>
      <c r="D73" s="162" t="s">
        <v>207</v>
      </c>
      <c r="E73" s="57" t="s">
        <v>178</v>
      </c>
      <c r="F73" s="57"/>
      <c r="G73" s="57" t="s">
        <v>300</v>
      </c>
      <c r="H73" s="31" t="s">
        <v>477</v>
      </c>
      <c r="I73" s="57" t="s">
        <v>478</v>
      </c>
      <c r="J73" s="57" t="s">
        <v>303</v>
      </c>
      <c r="K73" s="59">
        <v>46123.0</v>
      </c>
      <c r="L73" s="59">
        <v>46124.0</v>
      </c>
      <c r="M73" s="60">
        <v>33.0</v>
      </c>
      <c r="N73" s="60">
        <v>29.0</v>
      </c>
      <c r="O73" s="121">
        <f t="shared" si="16"/>
        <v>4</v>
      </c>
      <c r="P73" s="60">
        <v>29.0</v>
      </c>
      <c r="Q73" s="121">
        <f t="shared" si="19"/>
        <v>0</v>
      </c>
      <c r="R73" s="60">
        <v>29.0</v>
      </c>
      <c r="S73" s="121">
        <f t="shared" si="3"/>
        <v>0</v>
      </c>
      <c r="T73" s="59">
        <v>46126.0</v>
      </c>
      <c r="U73" s="57" t="s">
        <v>150</v>
      </c>
      <c r="V73" s="165">
        <f t="shared" si="4"/>
        <v>1</v>
      </c>
      <c r="W73" s="165">
        <f t="shared" si="5"/>
        <v>0</v>
      </c>
      <c r="X73" s="57" t="s">
        <v>479</v>
      </c>
      <c r="Y73" s="57" t="s">
        <v>480</v>
      </c>
      <c r="Z73" s="29"/>
      <c r="AA73" s="29"/>
      <c r="AB73" s="37">
        <f>IFERROR(VLOOKUP(B73,'Scheme Master'!$B$4:$C$79,2,FALSE),"")</f>
        <v>720</v>
      </c>
      <c r="AC73" s="38">
        <f t="shared" si="6"/>
        <v>20880</v>
      </c>
      <c r="AD73" s="103"/>
      <c r="AE73" s="103"/>
      <c r="AF73" s="40" t="str">
        <f t="shared" si="7"/>
        <v/>
      </c>
      <c r="AG73" s="41" t="str">
        <f t="shared" si="8"/>
        <v/>
      </c>
      <c r="AH73" s="42" t="str">
        <f t="shared" si="9"/>
        <v/>
      </c>
      <c r="AI73" s="43" t="str">
        <f t="shared" si="10"/>
        <v/>
      </c>
      <c r="AJ73" s="44"/>
      <c r="AK73" s="104"/>
      <c r="AL73" s="65"/>
      <c r="AM73" s="64"/>
      <c r="AN73" s="65"/>
      <c r="AO73" s="43" t="str">
        <f t="shared" si="20"/>
        <v/>
      </c>
      <c r="AP73" s="105"/>
      <c r="AQ73" s="105"/>
      <c r="AR73" s="105"/>
      <c r="AS73" s="103"/>
      <c r="AT73" s="107"/>
      <c r="AU73" s="105"/>
      <c r="AV73" s="105"/>
      <c r="AW73" s="105"/>
      <c r="AX73" s="105"/>
      <c r="AY73" s="105"/>
    </row>
    <row r="74" ht="21.75" customHeight="1" outlineLevel="1">
      <c r="A74" s="120">
        <f t="shared" si="14"/>
        <v>73</v>
      </c>
      <c r="B74" s="168" t="s">
        <v>45</v>
      </c>
      <c r="C74" s="161">
        <v>3759841.0</v>
      </c>
      <c r="D74" s="169" t="s">
        <v>188</v>
      </c>
      <c r="E74" s="30" t="s">
        <v>189</v>
      </c>
      <c r="F74" s="30"/>
      <c r="G74" s="30" t="s">
        <v>481</v>
      </c>
      <c r="H74" s="70" t="s">
        <v>482</v>
      </c>
      <c r="I74" s="30" t="s">
        <v>483</v>
      </c>
      <c r="J74" s="30" t="s">
        <v>265</v>
      </c>
      <c r="K74" s="59">
        <v>46123.0</v>
      </c>
      <c r="L74" s="59">
        <v>46123.0</v>
      </c>
      <c r="M74" s="34">
        <v>12.0</v>
      </c>
      <c r="N74" s="34">
        <v>6.0</v>
      </c>
      <c r="O74" s="121">
        <f t="shared" si="16"/>
        <v>6</v>
      </c>
      <c r="P74" s="34">
        <v>5.0</v>
      </c>
      <c r="Q74" s="121">
        <f t="shared" si="19"/>
        <v>1</v>
      </c>
      <c r="R74" s="34">
        <v>6.0</v>
      </c>
      <c r="S74" s="121">
        <f t="shared" si="3"/>
        <v>0</v>
      </c>
      <c r="T74" s="33">
        <v>46123.0</v>
      </c>
      <c r="U74" s="30" t="s">
        <v>150</v>
      </c>
      <c r="V74" s="165">
        <f t="shared" si="4"/>
        <v>1</v>
      </c>
      <c r="W74" s="165">
        <f t="shared" si="5"/>
        <v>0</v>
      </c>
      <c r="X74" s="30" t="s">
        <v>484</v>
      </c>
      <c r="Y74" s="30" t="s">
        <v>485</v>
      </c>
      <c r="Z74" s="30" t="s">
        <v>484</v>
      </c>
      <c r="AA74" s="30" t="s">
        <v>486</v>
      </c>
      <c r="AB74" s="37">
        <f>IFERROR(VLOOKUP(B74,'Scheme Master'!$B$4:$C$79,2,FALSE),"")</f>
        <v>360</v>
      </c>
      <c r="AC74" s="38">
        <f t="shared" si="6"/>
        <v>2160</v>
      </c>
      <c r="AD74" s="108"/>
      <c r="AE74" s="108"/>
      <c r="AF74" s="40" t="str">
        <f t="shared" si="7"/>
        <v/>
      </c>
      <c r="AG74" s="41" t="str">
        <f t="shared" si="8"/>
        <v/>
      </c>
      <c r="AH74" s="42" t="str">
        <f t="shared" si="9"/>
        <v/>
      </c>
      <c r="AI74" s="43" t="str">
        <f t="shared" si="10"/>
        <v/>
      </c>
      <c r="AJ74" s="44"/>
      <c r="AK74" s="71"/>
      <c r="AL74" s="54"/>
      <c r="AM74" s="53"/>
      <c r="AN74" s="54"/>
      <c r="AO74" s="43" t="str">
        <f t="shared" si="20"/>
        <v/>
      </c>
      <c r="AP74" s="109"/>
      <c r="AQ74" s="109"/>
      <c r="AR74" s="109"/>
      <c r="AS74" s="108"/>
      <c r="AT74" s="111"/>
      <c r="AU74" s="109"/>
      <c r="AV74" s="109"/>
      <c r="AW74" s="109"/>
      <c r="AX74" s="109"/>
      <c r="AY74" s="109"/>
    </row>
    <row r="75" ht="21.75" customHeight="1" outlineLevel="1">
      <c r="A75" s="120">
        <f t="shared" si="14"/>
        <v>74</v>
      </c>
      <c r="B75" s="160" t="s">
        <v>45</v>
      </c>
      <c r="C75" s="161">
        <v>3758535.0</v>
      </c>
      <c r="D75" s="162" t="s">
        <v>145</v>
      </c>
      <c r="E75" s="57" t="s">
        <v>487</v>
      </c>
      <c r="F75" s="57"/>
      <c r="G75" s="57" t="s">
        <v>197</v>
      </c>
      <c r="H75" s="31" t="s">
        <v>203</v>
      </c>
      <c r="I75" s="57" t="s">
        <v>488</v>
      </c>
      <c r="J75" s="57" t="s">
        <v>465</v>
      </c>
      <c r="K75" s="58">
        <v>46125.0</v>
      </c>
      <c r="L75" s="59">
        <v>46125.0</v>
      </c>
      <c r="M75" s="60">
        <v>30.0</v>
      </c>
      <c r="N75" s="60">
        <v>17.0</v>
      </c>
      <c r="O75" s="121">
        <f t="shared" si="16"/>
        <v>13</v>
      </c>
      <c r="P75" s="174"/>
      <c r="Q75" s="121" t="str">
        <f t="shared" si="19"/>
        <v/>
      </c>
      <c r="R75" s="60">
        <v>17.0</v>
      </c>
      <c r="S75" s="121">
        <f t="shared" si="3"/>
        <v>0</v>
      </c>
      <c r="T75" s="59">
        <v>46125.0</v>
      </c>
      <c r="U75" s="57" t="s">
        <v>150</v>
      </c>
      <c r="V75" s="36">
        <f t="shared" si="4"/>
        <v>1</v>
      </c>
      <c r="W75" s="36">
        <f t="shared" si="5"/>
        <v>0</v>
      </c>
      <c r="X75" s="57" t="s">
        <v>489</v>
      </c>
      <c r="Y75" s="57" t="s">
        <v>490</v>
      </c>
      <c r="Z75" s="57" t="s">
        <v>491</v>
      </c>
      <c r="AA75" s="57" t="s">
        <v>492</v>
      </c>
      <c r="AB75" s="37">
        <f>IFERROR(VLOOKUP(B75,'Scheme Master'!$B$4:$C$79,2,FALSE),"")</f>
        <v>360</v>
      </c>
      <c r="AC75" s="38">
        <f t="shared" si="6"/>
        <v>6120</v>
      </c>
      <c r="AD75" s="118">
        <v>2000.0</v>
      </c>
      <c r="AE75" s="61">
        <v>300.0</v>
      </c>
      <c r="AF75" s="40">
        <f t="shared" si="7"/>
        <v>2300</v>
      </c>
      <c r="AG75" s="41">
        <f t="shared" si="8"/>
        <v>3820</v>
      </c>
      <c r="AH75" s="42">
        <f t="shared" si="9"/>
        <v>0.3758169935</v>
      </c>
      <c r="AI75" s="43" t="str">
        <f t="shared" si="10"/>
        <v>✅ Auto-Approved</v>
      </c>
      <c r="AJ75" s="44"/>
      <c r="AK75" s="56" t="s">
        <v>155</v>
      </c>
      <c r="AL75" s="65"/>
      <c r="AM75" s="64"/>
      <c r="AN75" s="65"/>
      <c r="AO75" s="43" t="str">
        <f t="shared" si="20"/>
        <v>✅ Approved (Auto - Within Budget)</v>
      </c>
      <c r="AP75" s="105"/>
      <c r="AQ75" s="105"/>
      <c r="AR75" s="105"/>
      <c r="AS75" s="103"/>
      <c r="AT75" s="107"/>
      <c r="AU75" s="105"/>
      <c r="AV75" s="105"/>
      <c r="AW75" s="105"/>
      <c r="AX75" s="105"/>
      <c r="AY75" s="105"/>
    </row>
    <row r="76" ht="21.75" customHeight="1" outlineLevel="1">
      <c r="A76" s="120">
        <f t="shared" si="14"/>
        <v>75</v>
      </c>
      <c r="B76" s="168" t="s">
        <v>45</v>
      </c>
      <c r="C76" s="161">
        <v>3759814.0</v>
      </c>
      <c r="D76" s="169" t="s">
        <v>145</v>
      </c>
      <c r="E76" s="30" t="s">
        <v>487</v>
      </c>
      <c r="F76" s="30"/>
      <c r="G76" s="30" t="s">
        <v>493</v>
      </c>
      <c r="H76" s="30" t="s">
        <v>437</v>
      </c>
      <c r="I76" s="30" t="s">
        <v>494</v>
      </c>
      <c r="J76" s="30" t="s">
        <v>149</v>
      </c>
      <c r="K76" s="33">
        <v>46125.0</v>
      </c>
      <c r="L76" s="33">
        <v>46125.0</v>
      </c>
      <c r="M76" s="30">
        <v>30.0</v>
      </c>
      <c r="N76" s="168">
        <v>0.0</v>
      </c>
      <c r="O76" s="121">
        <f t="shared" si="16"/>
        <v>30</v>
      </c>
      <c r="P76" s="34">
        <v>0.0</v>
      </c>
      <c r="Q76" s="121">
        <f t="shared" si="19"/>
        <v>0</v>
      </c>
      <c r="R76" s="34">
        <v>0.0</v>
      </c>
      <c r="S76" s="121">
        <f t="shared" si="3"/>
        <v>0</v>
      </c>
      <c r="T76" s="33">
        <v>46125.0</v>
      </c>
      <c r="U76" s="30" t="s">
        <v>150</v>
      </c>
      <c r="V76" s="36" t="str">
        <f t="shared" si="4"/>
        <v/>
      </c>
      <c r="W76" s="36" t="str">
        <f t="shared" si="5"/>
        <v/>
      </c>
      <c r="X76" s="30" t="s">
        <v>495</v>
      </c>
      <c r="Y76" s="30" t="s">
        <v>496</v>
      </c>
      <c r="Z76" s="155" t="s">
        <v>497</v>
      </c>
      <c r="AA76" s="155" t="s">
        <v>498</v>
      </c>
      <c r="AB76" s="37">
        <f>IFERROR(VLOOKUP(B76,'Scheme Master'!$B$4:$C$79,2,FALSE),"")</f>
        <v>360</v>
      </c>
      <c r="AC76" s="38">
        <f t="shared" si="6"/>
        <v>0</v>
      </c>
      <c r="AD76" s="122">
        <v>2000.0</v>
      </c>
      <c r="AE76" s="39">
        <v>700.0</v>
      </c>
      <c r="AF76" s="40">
        <f t="shared" si="7"/>
        <v>2700</v>
      </c>
      <c r="AG76" s="41">
        <f t="shared" si="8"/>
        <v>-2700</v>
      </c>
      <c r="AH76" s="42" t="str">
        <f t="shared" si="9"/>
        <v/>
      </c>
      <c r="AI76" s="43" t="str">
        <f t="shared" si="10"/>
        <v/>
      </c>
      <c r="AJ76" s="44"/>
      <c r="AK76" s="28" t="s">
        <v>499</v>
      </c>
      <c r="AL76" s="54"/>
      <c r="AM76" s="53"/>
      <c r="AN76" s="54"/>
      <c r="AO76" s="43" t="str">
        <f t="shared" si="20"/>
        <v/>
      </c>
      <c r="AP76" s="109"/>
      <c r="AQ76" s="109"/>
      <c r="AR76" s="109"/>
      <c r="AS76" s="108"/>
      <c r="AT76" s="111"/>
      <c r="AU76" s="109"/>
      <c r="AV76" s="109"/>
      <c r="AW76" s="109"/>
      <c r="AX76" s="109"/>
      <c r="AY76" s="109"/>
    </row>
    <row r="77" ht="21.75" customHeight="1" outlineLevel="1">
      <c r="A77" s="120">
        <f t="shared" si="14"/>
        <v>76</v>
      </c>
      <c r="B77" s="168" t="s">
        <v>45</v>
      </c>
      <c r="C77" s="161">
        <v>3761365.0</v>
      </c>
      <c r="D77" s="169" t="s">
        <v>188</v>
      </c>
      <c r="E77" s="30" t="s">
        <v>433</v>
      </c>
      <c r="F77" s="30"/>
      <c r="G77" s="30" t="s">
        <v>146</v>
      </c>
      <c r="H77" s="30" t="s">
        <v>147</v>
      </c>
      <c r="I77" s="30" t="s">
        <v>438</v>
      </c>
      <c r="J77" s="30" t="s">
        <v>439</v>
      </c>
      <c r="K77" s="33">
        <v>46123.0</v>
      </c>
      <c r="L77" s="33">
        <v>46123.0</v>
      </c>
      <c r="M77" s="30">
        <v>45.0</v>
      </c>
      <c r="N77" s="30">
        <v>28.0</v>
      </c>
      <c r="O77" s="30">
        <f t="shared" si="16"/>
        <v>17</v>
      </c>
      <c r="P77" s="30">
        <v>25.0</v>
      </c>
      <c r="Q77" s="121">
        <f t="shared" si="19"/>
        <v>3</v>
      </c>
      <c r="R77" s="30">
        <v>28.0</v>
      </c>
      <c r="S77" s="30">
        <f t="shared" si="3"/>
        <v>0</v>
      </c>
      <c r="T77" s="33">
        <v>46123.0</v>
      </c>
      <c r="U77" s="30" t="s">
        <v>150</v>
      </c>
      <c r="V77" s="176">
        <f t="shared" si="4"/>
        <v>1</v>
      </c>
      <c r="W77" s="176">
        <f t="shared" si="5"/>
        <v>0</v>
      </c>
      <c r="X77" s="57" t="s">
        <v>500</v>
      </c>
      <c r="Y77" s="57" t="s">
        <v>501</v>
      </c>
      <c r="Z77" s="57" t="s">
        <v>500</v>
      </c>
      <c r="AA77" s="106" t="s">
        <v>502</v>
      </c>
      <c r="AB77" s="37">
        <f>IFERROR(VLOOKUP(B77,'Scheme Master'!$B$4:$C$79,2,FALSE),"")</f>
        <v>360</v>
      </c>
      <c r="AC77" s="38">
        <f t="shared" si="6"/>
        <v>10080</v>
      </c>
      <c r="AD77" s="103"/>
      <c r="AE77" s="103"/>
      <c r="AF77" s="40" t="str">
        <f t="shared" si="7"/>
        <v/>
      </c>
      <c r="AG77" s="41" t="str">
        <f t="shared" si="8"/>
        <v/>
      </c>
      <c r="AH77" s="42" t="str">
        <f t="shared" si="9"/>
        <v/>
      </c>
      <c r="AI77" s="43" t="str">
        <f t="shared" si="10"/>
        <v/>
      </c>
      <c r="AJ77" s="44"/>
      <c r="AK77" s="104"/>
      <c r="AL77" s="65"/>
      <c r="AM77" s="64"/>
      <c r="AN77" s="65"/>
      <c r="AO77" s="43" t="str">
        <f t="shared" si="20"/>
        <v/>
      </c>
      <c r="AP77" s="105"/>
      <c r="AQ77" s="105"/>
      <c r="AR77" s="105"/>
      <c r="AS77" s="103"/>
      <c r="AT77" s="107"/>
      <c r="AU77" s="105"/>
      <c r="AV77" s="105"/>
      <c r="AW77" s="105"/>
      <c r="AX77" s="105"/>
      <c r="AY77" s="105"/>
    </row>
    <row r="78" ht="21.75" customHeight="1" outlineLevel="1">
      <c r="A78" s="120">
        <f t="shared" si="14"/>
        <v>77</v>
      </c>
      <c r="B78" s="30" t="s">
        <v>45</v>
      </c>
      <c r="C78" s="161">
        <v>3744204.0</v>
      </c>
      <c r="D78" s="169" t="s">
        <v>145</v>
      </c>
      <c r="E78" s="30" t="s">
        <v>178</v>
      </c>
      <c r="F78" s="30"/>
      <c r="G78" s="30" t="s">
        <v>179</v>
      </c>
      <c r="H78" s="30" t="s">
        <v>331</v>
      </c>
      <c r="I78" s="30" t="s">
        <v>337</v>
      </c>
      <c r="J78" s="30" t="s">
        <v>333</v>
      </c>
      <c r="K78" s="33">
        <v>46123.0</v>
      </c>
      <c r="L78" s="33">
        <v>46123.0</v>
      </c>
      <c r="M78" s="30">
        <v>37.0</v>
      </c>
      <c r="N78" s="30">
        <v>12.0</v>
      </c>
      <c r="O78" s="30">
        <f t="shared" si="16"/>
        <v>25</v>
      </c>
      <c r="P78" s="30">
        <v>11.0</v>
      </c>
      <c r="Q78" s="121">
        <f t="shared" si="19"/>
        <v>1</v>
      </c>
      <c r="R78" s="30">
        <v>12.0</v>
      </c>
      <c r="S78" s="30">
        <f t="shared" si="3"/>
        <v>0</v>
      </c>
      <c r="T78" s="33">
        <v>46123.0</v>
      </c>
      <c r="U78" s="30" t="s">
        <v>150</v>
      </c>
      <c r="V78" s="176">
        <f t="shared" si="4"/>
        <v>1</v>
      </c>
      <c r="W78" s="176">
        <f t="shared" si="5"/>
        <v>0</v>
      </c>
      <c r="X78" s="57" t="s">
        <v>338</v>
      </c>
      <c r="Y78" s="57" t="s">
        <v>503</v>
      </c>
      <c r="Z78" s="57" t="s">
        <v>504</v>
      </c>
      <c r="AA78" s="110" t="s">
        <v>505</v>
      </c>
      <c r="AB78" s="37">
        <f>IFERROR(VLOOKUP(B78,'Scheme Master'!$B$4:$C$79,2,FALSE),"")</f>
        <v>360</v>
      </c>
      <c r="AC78" s="38">
        <f t="shared" si="6"/>
        <v>4320</v>
      </c>
      <c r="AD78" s="108"/>
      <c r="AE78" s="108"/>
      <c r="AF78" s="40" t="str">
        <f t="shared" si="7"/>
        <v/>
      </c>
      <c r="AG78" s="41" t="str">
        <f t="shared" si="8"/>
        <v/>
      </c>
      <c r="AH78" s="42" t="str">
        <f t="shared" si="9"/>
        <v/>
      </c>
      <c r="AI78" s="43" t="str">
        <f t="shared" si="10"/>
        <v/>
      </c>
      <c r="AJ78" s="44"/>
      <c r="AK78" s="71"/>
      <c r="AL78" s="54"/>
      <c r="AM78" s="53"/>
      <c r="AN78" s="54"/>
      <c r="AO78" s="43" t="str">
        <f t="shared" si="20"/>
        <v/>
      </c>
      <c r="AP78" s="109"/>
      <c r="AQ78" s="109"/>
      <c r="AR78" s="109"/>
      <c r="AS78" s="108"/>
      <c r="AT78" s="111"/>
      <c r="AU78" s="109"/>
      <c r="AV78" s="109"/>
      <c r="AW78" s="109"/>
      <c r="AX78" s="109"/>
      <c r="AY78" s="109"/>
    </row>
    <row r="79" ht="21.75" customHeight="1" outlineLevel="1">
      <c r="A79" s="177">
        <f t="shared" si="14"/>
        <v>78</v>
      </c>
      <c r="B79" s="178" t="s">
        <v>16</v>
      </c>
      <c r="C79" s="161">
        <v>3636818.0</v>
      </c>
      <c r="D79" s="179" t="s">
        <v>161</v>
      </c>
      <c r="E79" s="178" t="s">
        <v>162</v>
      </c>
      <c r="F79" s="178"/>
      <c r="G79" s="178" t="s">
        <v>457</v>
      </c>
      <c r="H79" s="178" t="s">
        <v>506</v>
      </c>
      <c r="I79" s="178" t="s">
        <v>507</v>
      </c>
      <c r="J79" s="178" t="s">
        <v>265</v>
      </c>
      <c r="K79" s="180">
        <v>46126.0</v>
      </c>
      <c r="L79" s="180">
        <v>46126.0</v>
      </c>
      <c r="M79" s="178">
        <v>30.0</v>
      </c>
      <c r="N79" s="30">
        <v>28.0</v>
      </c>
      <c r="O79" s="30">
        <f t="shared" si="16"/>
        <v>2</v>
      </c>
      <c r="P79" s="30">
        <v>28.0</v>
      </c>
      <c r="Q79" s="121">
        <f t="shared" si="19"/>
        <v>0</v>
      </c>
      <c r="R79" s="30">
        <v>28.0</v>
      </c>
      <c r="S79" s="30">
        <f t="shared" si="3"/>
        <v>0</v>
      </c>
      <c r="T79" s="33">
        <v>46128.0</v>
      </c>
      <c r="U79" s="30" t="s">
        <v>150</v>
      </c>
      <c r="V79" s="181">
        <f t="shared" si="4"/>
        <v>1</v>
      </c>
      <c r="W79" s="181">
        <f t="shared" si="5"/>
        <v>0</v>
      </c>
      <c r="X79" s="57" t="s">
        <v>251</v>
      </c>
      <c r="Y79" s="57" t="s">
        <v>252</v>
      </c>
      <c r="Z79" s="57" t="s">
        <v>508</v>
      </c>
      <c r="AA79" s="155" t="s">
        <v>509</v>
      </c>
      <c r="AB79" s="37">
        <f>IFERROR(VLOOKUP(B79,'Scheme Master'!$B$4:$C$79,2,FALSE),"")</f>
        <v>400</v>
      </c>
      <c r="AC79" s="38">
        <f t="shared" si="6"/>
        <v>11200</v>
      </c>
      <c r="AD79" s="103"/>
      <c r="AE79" s="103"/>
      <c r="AF79" s="40" t="str">
        <f t="shared" si="7"/>
        <v/>
      </c>
      <c r="AG79" s="41" t="str">
        <f t="shared" si="8"/>
        <v/>
      </c>
      <c r="AH79" s="42" t="str">
        <f t="shared" si="9"/>
        <v/>
      </c>
      <c r="AI79" s="43" t="str">
        <f t="shared" si="10"/>
        <v/>
      </c>
      <c r="AJ79" s="44"/>
      <c r="AK79" s="104"/>
      <c r="AL79" s="65"/>
      <c r="AM79" s="64"/>
      <c r="AN79" s="65"/>
      <c r="AO79" s="43" t="str">
        <f t="shared" si="20"/>
        <v/>
      </c>
      <c r="AP79" s="105"/>
      <c r="AQ79" s="105"/>
      <c r="AR79" s="105"/>
      <c r="AS79" s="103"/>
      <c r="AT79" s="107"/>
      <c r="AU79" s="105"/>
      <c r="AV79" s="105"/>
      <c r="AW79" s="105"/>
      <c r="AX79" s="105"/>
      <c r="AY79" s="105"/>
    </row>
    <row r="80" ht="21.75" customHeight="1" outlineLevel="1">
      <c r="A80" s="120">
        <f t="shared" si="14"/>
        <v>79</v>
      </c>
      <c r="B80" s="30" t="s">
        <v>34</v>
      </c>
      <c r="C80" s="161">
        <v>3734745.0</v>
      </c>
      <c r="D80" s="169" t="s">
        <v>161</v>
      </c>
      <c r="E80" s="30" t="s">
        <v>162</v>
      </c>
      <c r="F80" s="30"/>
      <c r="G80" s="30" t="s">
        <v>510</v>
      </c>
      <c r="H80" s="30" t="s">
        <v>511</v>
      </c>
      <c r="I80" s="30" t="s">
        <v>512</v>
      </c>
      <c r="J80" s="30" t="s">
        <v>182</v>
      </c>
      <c r="K80" s="33">
        <v>46124.0</v>
      </c>
      <c r="L80" s="33">
        <v>46124.0</v>
      </c>
      <c r="M80" s="30">
        <v>47.0</v>
      </c>
      <c r="N80" s="30">
        <v>31.0</v>
      </c>
      <c r="O80" s="30">
        <f t="shared" si="16"/>
        <v>16</v>
      </c>
      <c r="P80" s="30">
        <v>15.0</v>
      </c>
      <c r="Q80" s="30">
        <f t="shared" si="19"/>
        <v>16</v>
      </c>
      <c r="R80" s="30">
        <v>31.0</v>
      </c>
      <c r="S80" s="30">
        <f t="shared" si="3"/>
        <v>0</v>
      </c>
      <c r="T80" s="33">
        <v>46125.0</v>
      </c>
      <c r="U80" s="30" t="s">
        <v>150</v>
      </c>
      <c r="V80" s="181">
        <f t="shared" si="4"/>
        <v>1</v>
      </c>
      <c r="W80" s="181">
        <f t="shared" si="5"/>
        <v>0</v>
      </c>
      <c r="X80" s="57" t="s">
        <v>513</v>
      </c>
      <c r="Y80" s="57" t="s">
        <v>514</v>
      </c>
      <c r="Z80" s="57" t="s">
        <v>515</v>
      </c>
      <c r="AA80" s="30" t="s">
        <v>516</v>
      </c>
      <c r="AB80" s="37">
        <f>IFERROR(VLOOKUP(B80,'Scheme Master'!$B$4:$C$79,2,FALSE),"")</f>
        <v>200</v>
      </c>
      <c r="AC80" s="38">
        <f t="shared" si="6"/>
        <v>6200</v>
      </c>
      <c r="AD80" s="108"/>
      <c r="AE80" s="108"/>
      <c r="AF80" s="40" t="str">
        <f t="shared" si="7"/>
        <v/>
      </c>
      <c r="AG80" s="41" t="str">
        <f t="shared" si="8"/>
        <v/>
      </c>
      <c r="AH80" s="42" t="str">
        <f t="shared" si="9"/>
        <v/>
      </c>
      <c r="AI80" s="43" t="str">
        <f t="shared" si="10"/>
        <v/>
      </c>
      <c r="AJ80" s="44"/>
      <c r="AK80" s="71"/>
      <c r="AL80" s="54"/>
      <c r="AM80" s="53"/>
      <c r="AN80" s="54"/>
      <c r="AO80" s="43" t="str">
        <f t="shared" si="20"/>
        <v/>
      </c>
      <c r="AP80" s="109"/>
      <c r="AQ80" s="109"/>
      <c r="AR80" s="109"/>
      <c r="AS80" s="108"/>
      <c r="AT80" s="111"/>
      <c r="AU80" s="109"/>
      <c r="AV80" s="109"/>
      <c r="AW80" s="109"/>
      <c r="AX80" s="109"/>
      <c r="AY80" s="109"/>
    </row>
    <row r="81" ht="21.75" customHeight="1" outlineLevel="1">
      <c r="A81" s="177">
        <f t="shared" si="14"/>
        <v>80</v>
      </c>
      <c r="B81" s="178" t="s">
        <v>45</v>
      </c>
      <c r="C81" s="161">
        <v>3759186.0</v>
      </c>
      <c r="D81" s="179" t="s">
        <v>145</v>
      </c>
      <c r="E81" s="178" t="s">
        <v>487</v>
      </c>
      <c r="F81" s="178"/>
      <c r="G81" s="178" t="s">
        <v>370</v>
      </c>
      <c r="H81" s="178" t="s">
        <v>331</v>
      </c>
      <c r="I81" s="178" t="s">
        <v>332</v>
      </c>
      <c r="J81" s="178" t="s">
        <v>333</v>
      </c>
      <c r="K81" s="180">
        <v>46125.0</v>
      </c>
      <c r="L81" s="180">
        <v>46125.0</v>
      </c>
      <c r="M81" s="178">
        <v>15.0</v>
      </c>
      <c r="N81" s="30">
        <v>7.0</v>
      </c>
      <c r="O81" s="30">
        <f t="shared" si="16"/>
        <v>8</v>
      </c>
      <c r="P81" s="30"/>
      <c r="Q81" s="30" t="str">
        <f t="shared" si="19"/>
        <v/>
      </c>
      <c r="R81" s="30">
        <v>7.0</v>
      </c>
      <c r="S81" s="30">
        <f t="shared" si="3"/>
        <v>0</v>
      </c>
      <c r="T81" s="33">
        <v>46125.0</v>
      </c>
      <c r="U81" s="30" t="s">
        <v>150</v>
      </c>
      <c r="V81" s="181">
        <f t="shared" si="4"/>
        <v>1</v>
      </c>
      <c r="W81" s="181">
        <f t="shared" si="5"/>
        <v>0</v>
      </c>
      <c r="X81" s="57" t="s">
        <v>517</v>
      </c>
      <c r="Y81" s="57" t="s">
        <v>518</v>
      </c>
      <c r="Z81" s="57" t="s">
        <v>519</v>
      </c>
      <c r="AA81" s="30" t="s">
        <v>520</v>
      </c>
      <c r="AB81" s="37">
        <f>IFERROR(VLOOKUP(B81,'Scheme Master'!$B$4:$C$79,2,FALSE),"")</f>
        <v>360</v>
      </c>
      <c r="AC81" s="38">
        <f t="shared" si="6"/>
        <v>2520</v>
      </c>
      <c r="AD81" s="103"/>
      <c r="AE81" s="103"/>
      <c r="AF81" s="40" t="str">
        <f t="shared" si="7"/>
        <v/>
      </c>
      <c r="AG81" s="41" t="str">
        <f t="shared" si="8"/>
        <v/>
      </c>
      <c r="AH81" s="42" t="str">
        <f t="shared" si="9"/>
        <v/>
      </c>
      <c r="AI81" s="43" t="str">
        <f t="shared" si="10"/>
        <v/>
      </c>
      <c r="AJ81" s="44"/>
      <c r="AK81" s="104"/>
      <c r="AL81" s="65"/>
      <c r="AM81" s="64"/>
      <c r="AN81" s="65"/>
      <c r="AO81" s="43" t="str">
        <f t="shared" si="20"/>
        <v/>
      </c>
      <c r="AP81" s="105"/>
      <c r="AQ81" s="105"/>
      <c r="AR81" s="105"/>
      <c r="AS81" s="103"/>
      <c r="AT81" s="107"/>
      <c r="AU81" s="105"/>
      <c r="AV81" s="105"/>
      <c r="AW81" s="105"/>
      <c r="AX81" s="105"/>
      <c r="AY81" s="105"/>
    </row>
    <row r="82" ht="21.75" customHeight="1" outlineLevel="1">
      <c r="A82" s="120">
        <f t="shared" si="14"/>
        <v>81</v>
      </c>
      <c r="B82" s="30" t="s">
        <v>45</v>
      </c>
      <c r="C82" s="161">
        <v>3761739.0</v>
      </c>
      <c r="D82" s="169" t="s">
        <v>188</v>
      </c>
      <c r="E82" s="30" t="s">
        <v>433</v>
      </c>
      <c r="F82" s="30"/>
      <c r="G82" s="30" t="s">
        <v>146</v>
      </c>
      <c r="H82" s="30" t="s">
        <v>309</v>
      </c>
      <c r="I82" s="30" t="s">
        <v>438</v>
      </c>
      <c r="J82" s="30" t="s">
        <v>439</v>
      </c>
      <c r="K82" s="33">
        <v>46125.0</v>
      </c>
      <c r="L82" s="33">
        <v>46125.0</v>
      </c>
      <c r="M82" s="30">
        <v>39.0</v>
      </c>
      <c r="N82" s="30">
        <v>20.0</v>
      </c>
      <c r="O82" s="30">
        <f t="shared" si="16"/>
        <v>19</v>
      </c>
      <c r="P82" s="30">
        <v>16.0</v>
      </c>
      <c r="Q82" s="30">
        <f t="shared" si="19"/>
        <v>4</v>
      </c>
      <c r="R82" s="30">
        <v>20.0</v>
      </c>
      <c r="S82" s="30">
        <f t="shared" si="3"/>
        <v>0</v>
      </c>
      <c r="T82" s="33">
        <v>46125.0</v>
      </c>
      <c r="U82" s="30" t="s">
        <v>150</v>
      </c>
      <c r="V82" s="181">
        <f t="shared" si="4"/>
        <v>1</v>
      </c>
      <c r="W82" s="181">
        <f t="shared" si="5"/>
        <v>0</v>
      </c>
      <c r="X82" s="57" t="s">
        <v>500</v>
      </c>
      <c r="Y82" s="57" t="s">
        <v>501</v>
      </c>
      <c r="Z82" s="57"/>
      <c r="AA82" s="30"/>
      <c r="AB82" s="37">
        <f>IFERROR(VLOOKUP(B82,'Scheme Master'!$B$4:$C$79,2,FALSE),"")</f>
        <v>360</v>
      </c>
      <c r="AC82" s="38">
        <f t="shared" si="6"/>
        <v>7200</v>
      </c>
      <c r="AD82" s="108"/>
      <c r="AE82" s="108"/>
      <c r="AF82" s="40" t="str">
        <f t="shared" si="7"/>
        <v/>
      </c>
      <c r="AG82" s="41" t="str">
        <f t="shared" si="8"/>
        <v/>
      </c>
      <c r="AH82" s="42" t="str">
        <f t="shared" si="9"/>
        <v/>
      </c>
      <c r="AI82" s="43" t="str">
        <f t="shared" si="10"/>
        <v/>
      </c>
      <c r="AJ82" s="44"/>
      <c r="AK82" s="71"/>
      <c r="AL82" s="54"/>
      <c r="AM82" s="53"/>
      <c r="AN82" s="54"/>
      <c r="AO82" s="43" t="str">
        <f t="shared" si="20"/>
        <v/>
      </c>
      <c r="AP82" s="109"/>
      <c r="AQ82" s="109"/>
      <c r="AR82" s="109"/>
      <c r="AS82" s="108"/>
      <c r="AT82" s="111"/>
      <c r="AU82" s="109"/>
      <c r="AV82" s="109"/>
      <c r="AW82" s="109"/>
      <c r="AX82" s="109"/>
      <c r="AY82" s="109"/>
    </row>
    <row r="83" ht="21.75" customHeight="1" outlineLevel="1">
      <c r="A83" s="120">
        <f t="shared" si="14"/>
        <v>82</v>
      </c>
      <c r="B83" s="30" t="s">
        <v>45</v>
      </c>
      <c r="C83" s="30">
        <v>3739384.0</v>
      </c>
      <c r="D83" s="169" t="s">
        <v>188</v>
      </c>
      <c r="E83" s="30" t="s">
        <v>178</v>
      </c>
      <c r="F83" s="30"/>
      <c r="G83" s="30" t="s">
        <v>179</v>
      </c>
      <c r="H83" s="30" t="s">
        <v>203</v>
      </c>
      <c r="I83" s="30" t="s">
        <v>204</v>
      </c>
      <c r="J83" s="30" t="s">
        <v>182</v>
      </c>
      <c r="K83" s="33">
        <v>46131.0</v>
      </c>
      <c r="L83" s="33">
        <v>46131.0</v>
      </c>
      <c r="M83" s="30">
        <v>41.0</v>
      </c>
      <c r="N83" s="30"/>
      <c r="O83" s="30" t="str">
        <f t="shared" si="16"/>
        <v/>
      </c>
      <c r="P83" s="30"/>
      <c r="Q83" s="30" t="str">
        <f t="shared" si="19"/>
        <v/>
      </c>
      <c r="R83" s="30"/>
      <c r="S83" s="30" t="str">
        <f t="shared" si="3"/>
        <v/>
      </c>
      <c r="T83" s="33"/>
      <c r="U83" s="30"/>
      <c r="V83" s="181" t="str">
        <f t="shared" si="4"/>
        <v/>
      </c>
      <c r="W83" s="181" t="str">
        <f t="shared" si="5"/>
        <v/>
      </c>
      <c r="X83" s="57" t="s">
        <v>340</v>
      </c>
      <c r="Y83" s="57" t="s">
        <v>521</v>
      </c>
      <c r="Z83" s="57"/>
      <c r="AA83" s="30"/>
      <c r="AB83" s="37">
        <f>IFERROR(VLOOKUP(B83,'Scheme Master'!$B$4:$C$79,2,FALSE),"")</f>
        <v>360</v>
      </c>
      <c r="AC83" s="38" t="str">
        <f t="shared" si="6"/>
        <v/>
      </c>
      <c r="AD83" s="103"/>
      <c r="AE83" s="103"/>
      <c r="AF83" s="40" t="str">
        <f t="shared" si="7"/>
        <v/>
      </c>
      <c r="AG83" s="41" t="str">
        <f t="shared" si="8"/>
        <v/>
      </c>
      <c r="AH83" s="42" t="str">
        <f t="shared" si="9"/>
        <v/>
      </c>
      <c r="AI83" s="43" t="str">
        <f t="shared" si="10"/>
        <v/>
      </c>
      <c r="AJ83" s="44"/>
      <c r="AK83" s="104"/>
      <c r="AL83" s="65"/>
      <c r="AM83" s="64"/>
      <c r="AN83" s="65"/>
      <c r="AO83" s="43" t="str">
        <f t="shared" si="20"/>
        <v/>
      </c>
      <c r="AP83" s="105"/>
      <c r="AQ83" s="105"/>
      <c r="AR83" s="105"/>
      <c r="AS83" s="103"/>
      <c r="AT83" s="107"/>
      <c r="AU83" s="105"/>
      <c r="AV83" s="105"/>
      <c r="AW83" s="105"/>
      <c r="AX83" s="105"/>
      <c r="AY83" s="105"/>
    </row>
    <row r="84" ht="21.75" customHeight="1" outlineLevel="1">
      <c r="A84" s="120">
        <f t="shared" si="14"/>
        <v>83</v>
      </c>
      <c r="B84" s="30" t="s">
        <v>45</v>
      </c>
      <c r="C84" s="161">
        <v>3756903.0</v>
      </c>
      <c r="D84" s="169" t="s">
        <v>145</v>
      </c>
      <c r="E84" s="30" t="s">
        <v>178</v>
      </c>
      <c r="F84" s="30"/>
      <c r="G84" s="30" t="s">
        <v>522</v>
      </c>
      <c r="H84" s="30" t="s">
        <v>523</v>
      </c>
      <c r="I84" s="30" t="s">
        <v>165</v>
      </c>
      <c r="J84" s="30" t="s">
        <v>166</v>
      </c>
      <c r="K84" s="33">
        <v>46124.0</v>
      </c>
      <c r="L84" s="33">
        <v>46124.0</v>
      </c>
      <c r="M84" s="30">
        <v>43.0</v>
      </c>
      <c r="N84" s="30">
        <v>24.0</v>
      </c>
      <c r="O84" s="30">
        <f t="shared" si="16"/>
        <v>19</v>
      </c>
      <c r="P84" s="30">
        <v>24.0</v>
      </c>
      <c r="Q84" s="30">
        <f t="shared" si="19"/>
        <v>0</v>
      </c>
      <c r="R84" s="30">
        <v>24.0</v>
      </c>
      <c r="S84" s="30">
        <f t="shared" si="3"/>
        <v>0</v>
      </c>
      <c r="T84" s="33">
        <v>46124.0</v>
      </c>
      <c r="U84" s="30" t="s">
        <v>150</v>
      </c>
      <c r="V84" s="181">
        <f t="shared" si="4"/>
        <v>1</v>
      </c>
      <c r="W84" s="181">
        <f t="shared" si="5"/>
        <v>0</v>
      </c>
      <c r="X84" s="30" t="s">
        <v>524</v>
      </c>
      <c r="Y84" s="30" t="s">
        <v>525</v>
      </c>
      <c r="Z84" s="30" t="s">
        <v>526</v>
      </c>
      <c r="AA84" s="30" t="s">
        <v>527</v>
      </c>
      <c r="AB84" s="37">
        <f>IFERROR(VLOOKUP(B84,'Scheme Master'!$B$4:$C$79,2,FALSE),"")</f>
        <v>360</v>
      </c>
      <c r="AC84" s="38">
        <f t="shared" si="6"/>
        <v>8640</v>
      </c>
      <c r="AD84" s="108"/>
      <c r="AE84" s="108"/>
      <c r="AF84" s="40" t="str">
        <f t="shared" si="7"/>
        <v/>
      </c>
      <c r="AG84" s="41" t="str">
        <f t="shared" si="8"/>
        <v/>
      </c>
      <c r="AH84" s="42" t="str">
        <f t="shared" si="9"/>
        <v/>
      </c>
      <c r="AI84" s="43" t="str">
        <f t="shared" si="10"/>
        <v/>
      </c>
      <c r="AJ84" s="44"/>
      <c r="AK84" s="71"/>
      <c r="AL84" s="54"/>
      <c r="AM84" s="53"/>
      <c r="AN84" s="54"/>
      <c r="AO84" s="43" t="str">
        <f t="shared" si="20"/>
        <v/>
      </c>
      <c r="AP84" s="109"/>
      <c r="AQ84" s="109"/>
      <c r="AR84" s="109"/>
      <c r="AS84" s="108"/>
      <c r="AT84" s="111"/>
      <c r="AU84" s="109"/>
      <c r="AV84" s="109"/>
      <c r="AW84" s="109"/>
      <c r="AX84" s="109"/>
      <c r="AY84" s="109"/>
    </row>
    <row r="85" ht="21.75" customHeight="1" outlineLevel="1">
      <c r="A85" s="120">
        <f t="shared" si="14"/>
        <v>84</v>
      </c>
      <c r="B85" s="30" t="s">
        <v>45</v>
      </c>
      <c r="C85" s="182">
        <v>3760992.0</v>
      </c>
      <c r="D85" s="169" t="s">
        <v>188</v>
      </c>
      <c r="E85" s="30" t="s">
        <v>487</v>
      </c>
      <c r="F85" s="30"/>
      <c r="G85" s="30" t="s">
        <v>370</v>
      </c>
      <c r="H85" s="30" t="s">
        <v>528</v>
      </c>
      <c r="I85" s="30" t="s">
        <v>529</v>
      </c>
      <c r="J85" s="30" t="s">
        <v>193</v>
      </c>
      <c r="K85" s="33">
        <v>46124.0</v>
      </c>
      <c r="L85" s="33">
        <v>46124.0</v>
      </c>
      <c r="M85" s="30">
        <v>24.0</v>
      </c>
      <c r="N85" s="30">
        <v>18.0</v>
      </c>
      <c r="O85" s="30">
        <f t="shared" si="16"/>
        <v>6</v>
      </c>
      <c r="P85" s="30">
        <v>16.0</v>
      </c>
      <c r="Q85" s="30">
        <f t="shared" si="19"/>
        <v>2</v>
      </c>
      <c r="R85" s="30">
        <v>18.0</v>
      </c>
      <c r="S85" s="30">
        <f t="shared" si="3"/>
        <v>0</v>
      </c>
      <c r="T85" s="33">
        <v>46124.0</v>
      </c>
      <c r="U85" s="30" t="s">
        <v>150</v>
      </c>
      <c r="V85" s="181">
        <f t="shared" si="4"/>
        <v>1</v>
      </c>
      <c r="W85" s="181">
        <f t="shared" si="5"/>
        <v>0</v>
      </c>
      <c r="X85" s="30" t="s">
        <v>530</v>
      </c>
      <c r="Y85" s="30" t="s">
        <v>531</v>
      </c>
      <c r="Z85" s="30" t="s">
        <v>532</v>
      </c>
      <c r="AA85" s="30" t="s">
        <v>533</v>
      </c>
      <c r="AB85" s="37">
        <f>IFERROR(VLOOKUP(B85,'Scheme Master'!$B$4:$C$79,2,FALSE),"")</f>
        <v>360</v>
      </c>
      <c r="AC85" s="38">
        <f t="shared" si="6"/>
        <v>6480</v>
      </c>
      <c r="AD85" s="103"/>
      <c r="AE85" s="103"/>
      <c r="AF85" s="40" t="str">
        <f t="shared" si="7"/>
        <v/>
      </c>
      <c r="AG85" s="41" t="str">
        <f t="shared" si="8"/>
        <v/>
      </c>
      <c r="AH85" s="42" t="str">
        <f t="shared" si="9"/>
        <v/>
      </c>
      <c r="AI85" s="43" t="str">
        <f t="shared" si="10"/>
        <v/>
      </c>
      <c r="AJ85" s="44"/>
      <c r="AK85" s="104"/>
      <c r="AL85" s="65"/>
      <c r="AM85" s="64"/>
      <c r="AN85" s="65"/>
      <c r="AO85" s="43" t="str">
        <f t="shared" si="20"/>
        <v/>
      </c>
      <c r="AP85" s="105"/>
      <c r="AQ85" s="105"/>
      <c r="AR85" s="105"/>
      <c r="AS85" s="103"/>
      <c r="AT85" s="107"/>
      <c r="AU85" s="105"/>
      <c r="AV85" s="105"/>
      <c r="AW85" s="105"/>
      <c r="AX85" s="105"/>
      <c r="AY85" s="105"/>
    </row>
    <row r="86" ht="21.75" customHeight="1" outlineLevel="1">
      <c r="A86" s="183">
        <f t="shared" si="14"/>
        <v>85</v>
      </c>
      <c r="B86" s="30" t="s">
        <v>45</v>
      </c>
      <c r="C86" s="182">
        <v>3760899.0</v>
      </c>
      <c r="D86" s="169" t="s">
        <v>188</v>
      </c>
      <c r="E86" s="30" t="s">
        <v>487</v>
      </c>
      <c r="F86" s="30"/>
      <c r="G86" s="30" t="s">
        <v>197</v>
      </c>
      <c r="H86" s="30" t="s">
        <v>528</v>
      </c>
      <c r="I86" s="30" t="s">
        <v>529</v>
      </c>
      <c r="J86" s="30" t="s">
        <v>193</v>
      </c>
      <c r="K86" s="33">
        <v>46124.0</v>
      </c>
      <c r="L86" s="33">
        <v>46124.0</v>
      </c>
      <c r="M86" s="30">
        <v>15.0</v>
      </c>
      <c r="N86" s="30">
        <v>14.0</v>
      </c>
      <c r="O86" s="30">
        <f t="shared" si="16"/>
        <v>1</v>
      </c>
      <c r="P86" s="30">
        <v>5.0</v>
      </c>
      <c r="Q86" s="30">
        <f t="shared" si="19"/>
        <v>9</v>
      </c>
      <c r="R86" s="30">
        <v>14.0</v>
      </c>
      <c r="S86" s="30">
        <f t="shared" si="3"/>
        <v>0</v>
      </c>
      <c r="T86" s="33">
        <v>46124.0</v>
      </c>
      <c r="U86" s="30" t="s">
        <v>150</v>
      </c>
      <c r="V86" s="181">
        <f t="shared" si="4"/>
        <v>1</v>
      </c>
      <c r="W86" s="181">
        <f t="shared" si="5"/>
        <v>0</v>
      </c>
      <c r="X86" s="30" t="s">
        <v>534</v>
      </c>
      <c r="Y86" s="30" t="s">
        <v>535</v>
      </c>
      <c r="Z86" s="30" t="s">
        <v>536</v>
      </c>
      <c r="AA86" s="30" t="s">
        <v>537</v>
      </c>
      <c r="AB86" s="37">
        <f>IFERROR(VLOOKUP(B86,'Scheme Master'!$B$4:$C$79,2,FALSE),"")</f>
        <v>360</v>
      </c>
      <c r="AC86" s="38">
        <f t="shared" si="6"/>
        <v>5040</v>
      </c>
      <c r="AD86" s="108"/>
      <c r="AE86" s="108"/>
      <c r="AF86" s="40" t="str">
        <f t="shared" si="7"/>
        <v/>
      </c>
      <c r="AG86" s="41" t="str">
        <f t="shared" si="8"/>
        <v/>
      </c>
      <c r="AH86" s="42" t="str">
        <f t="shared" si="9"/>
        <v/>
      </c>
      <c r="AI86" s="43" t="str">
        <f t="shared" si="10"/>
        <v/>
      </c>
      <c r="AJ86" s="44"/>
      <c r="AK86" s="71"/>
      <c r="AL86" s="54"/>
      <c r="AM86" s="53"/>
      <c r="AN86" s="54"/>
      <c r="AO86" s="43" t="str">
        <f t="shared" si="20"/>
        <v/>
      </c>
      <c r="AP86" s="109"/>
      <c r="AQ86" s="109"/>
      <c r="AR86" s="109"/>
      <c r="AS86" s="108"/>
      <c r="AT86" s="111"/>
      <c r="AU86" s="109"/>
      <c r="AV86" s="109"/>
      <c r="AW86" s="109"/>
      <c r="AX86" s="109"/>
      <c r="AY86" s="109"/>
    </row>
    <row r="87" ht="21.75" customHeight="1" outlineLevel="1">
      <c r="A87" s="183">
        <f t="shared" si="14"/>
        <v>86</v>
      </c>
      <c r="B87" s="30" t="s">
        <v>69</v>
      </c>
      <c r="C87" s="161" t="s">
        <v>538</v>
      </c>
      <c r="D87" s="169" t="s">
        <v>161</v>
      </c>
      <c r="E87" s="30" t="s">
        <v>162</v>
      </c>
      <c r="F87" s="30"/>
      <c r="G87" s="30" t="s">
        <v>539</v>
      </c>
      <c r="H87" s="30" t="s">
        <v>540</v>
      </c>
      <c r="I87" s="30"/>
      <c r="J87" s="30"/>
      <c r="K87" s="33">
        <v>46125.0</v>
      </c>
      <c r="L87" s="33">
        <v>46125.0</v>
      </c>
      <c r="M87" s="30">
        <v>29.0</v>
      </c>
      <c r="N87" s="30">
        <v>28.0</v>
      </c>
      <c r="O87" s="30">
        <f t="shared" si="16"/>
        <v>1</v>
      </c>
      <c r="P87" s="30">
        <v>28.0</v>
      </c>
      <c r="Q87" s="30">
        <f t="shared" si="19"/>
        <v>0</v>
      </c>
      <c r="R87" s="30">
        <v>28.0</v>
      </c>
      <c r="S87" s="30">
        <f t="shared" si="3"/>
        <v>0</v>
      </c>
      <c r="T87" s="33">
        <v>46128.0</v>
      </c>
      <c r="U87" s="30" t="s">
        <v>150</v>
      </c>
      <c r="V87" s="181">
        <f t="shared" si="4"/>
        <v>1</v>
      </c>
      <c r="W87" s="181">
        <f t="shared" si="5"/>
        <v>0</v>
      </c>
      <c r="X87" s="30"/>
      <c r="Y87" s="30"/>
      <c r="Z87" s="30"/>
      <c r="AA87" s="30"/>
      <c r="AB87" s="37">
        <f>IFERROR(VLOOKUP(B87,'Scheme Master'!$B$4:$C$79,2,FALSE),"")</f>
        <v>480</v>
      </c>
      <c r="AC87" s="38">
        <f t="shared" si="6"/>
        <v>13440</v>
      </c>
      <c r="AD87" s="103"/>
      <c r="AE87" s="103"/>
      <c r="AF87" s="40" t="str">
        <f t="shared" si="7"/>
        <v/>
      </c>
      <c r="AG87" s="41" t="str">
        <f t="shared" si="8"/>
        <v/>
      </c>
      <c r="AH87" s="42" t="str">
        <f t="shared" si="9"/>
        <v/>
      </c>
      <c r="AI87" s="43" t="str">
        <f t="shared" si="10"/>
        <v/>
      </c>
      <c r="AJ87" s="44"/>
      <c r="AK87" s="104"/>
      <c r="AL87" s="65"/>
      <c r="AM87" s="64"/>
      <c r="AN87" s="65"/>
      <c r="AO87" s="43" t="str">
        <f t="shared" si="20"/>
        <v/>
      </c>
      <c r="AP87" s="105"/>
      <c r="AQ87" s="105"/>
      <c r="AR87" s="105"/>
      <c r="AS87" s="103"/>
      <c r="AT87" s="107"/>
      <c r="AU87" s="105"/>
      <c r="AV87" s="105"/>
      <c r="AW87" s="105"/>
      <c r="AX87" s="105"/>
      <c r="AY87" s="105"/>
    </row>
    <row r="88" ht="21.75" customHeight="1" outlineLevel="1">
      <c r="A88" s="183">
        <f t="shared" si="14"/>
        <v>87</v>
      </c>
      <c r="B88" s="30" t="s">
        <v>45</v>
      </c>
      <c r="C88" s="161">
        <v>3761649.0</v>
      </c>
      <c r="D88" s="169" t="s">
        <v>188</v>
      </c>
      <c r="E88" s="30" t="s">
        <v>433</v>
      </c>
      <c r="F88" s="30"/>
      <c r="G88" s="30" t="s">
        <v>146</v>
      </c>
      <c r="H88" s="30" t="s">
        <v>541</v>
      </c>
      <c r="I88" s="30" t="s">
        <v>542</v>
      </c>
      <c r="J88" s="30" t="s">
        <v>439</v>
      </c>
      <c r="K88" s="33">
        <v>46125.0</v>
      </c>
      <c r="L88" s="33">
        <v>46125.0</v>
      </c>
      <c r="M88" s="30">
        <v>37.0</v>
      </c>
      <c r="N88" s="30">
        <v>27.0</v>
      </c>
      <c r="O88" s="30">
        <f t="shared" si="16"/>
        <v>10</v>
      </c>
      <c r="P88" s="30"/>
      <c r="Q88" s="30" t="str">
        <f t="shared" si="19"/>
        <v/>
      </c>
      <c r="R88" s="30">
        <v>27.0</v>
      </c>
      <c r="S88" s="30">
        <f t="shared" si="3"/>
        <v>0</v>
      </c>
      <c r="T88" s="33">
        <v>46125.0</v>
      </c>
      <c r="U88" s="30" t="s">
        <v>150</v>
      </c>
      <c r="V88" s="181">
        <f t="shared" si="4"/>
        <v>1</v>
      </c>
      <c r="W88" s="181">
        <f t="shared" si="5"/>
        <v>0</v>
      </c>
      <c r="X88" s="30" t="s">
        <v>543</v>
      </c>
      <c r="Y88" s="30" t="s">
        <v>544</v>
      </c>
      <c r="Z88" s="30"/>
      <c r="AA88" s="30"/>
      <c r="AB88" s="37">
        <f>IFERROR(VLOOKUP(B88,'Scheme Master'!$B$4:$C$79,2,FALSE),"")</f>
        <v>360</v>
      </c>
      <c r="AC88" s="38">
        <f t="shared" si="6"/>
        <v>9720</v>
      </c>
      <c r="AD88" s="108"/>
      <c r="AE88" s="108"/>
      <c r="AF88" s="40" t="str">
        <f t="shared" si="7"/>
        <v/>
      </c>
      <c r="AG88" s="41" t="str">
        <f t="shared" si="8"/>
        <v/>
      </c>
      <c r="AH88" s="42" t="str">
        <f t="shared" si="9"/>
        <v/>
      </c>
      <c r="AI88" s="43" t="str">
        <f t="shared" si="10"/>
        <v/>
      </c>
      <c r="AJ88" s="44"/>
      <c r="AK88" s="71"/>
      <c r="AL88" s="54"/>
      <c r="AM88" s="53"/>
      <c r="AN88" s="54"/>
      <c r="AO88" s="43" t="str">
        <f t="shared" si="20"/>
        <v/>
      </c>
      <c r="AP88" s="109"/>
      <c r="AQ88" s="109"/>
      <c r="AR88" s="109"/>
      <c r="AS88" s="108"/>
      <c r="AT88" s="111"/>
      <c r="AU88" s="109"/>
      <c r="AV88" s="109"/>
      <c r="AW88" s="109"/>
      <c r="AX88" s="109"/>
      <c r="AY88" s="109"/>
    </row>
    <row r="89" ht="21.75" customHeight="1" outlineLevel="1">
      <c r="A89" s="183">
        <f t="shared" si="14"/>
        <v>88</v>
      </c>
      <c r="B89" s="30" t="s">
        <v>14</v>
      </c>
      <c r="C89" s="30">
        <v>3573816.0</v>
      </c>
      <c r="D89" s="169" t="s">
        <v>161</v>
      </c>
      <c r="E89" s="30" t="s">
        <v>178</v>
      </c>
      <c r="F89" s="30"/>
      <c r="G89" s="30" t="s">
        <v>545</v>
      </c>
      <c r="H89" s="30" t="s">
        <v>301</v>
      </c>
      <c r="I89" s="30" t="s">
        <v>546</v>
      </c>
      <c r="J89" s="30" t="s">
        <v>303</v>
      </c>
      <c r="K89" s="33">
        <v>46126.0</v>
      </c>
      <c r="L89" s="33">
        <v>46127.0</v>
      </c>
      <c r="M89" s="30">
        <v>30.0</v>
      </c>
      <c r="N89" s="30"/>
      <c r="O89" s="30" t="str">
        <f t="shared" si="16"/>
        <v/>
      </c>
      <c r="P89" s="30"/>
      <c r="Q89" s="30" t="str">
        <f t="shared" si="19"/>
        <v/>
      </c>
      <c r="R89" s="30"/>
      <c r="S89" s="30" t="str">
        <f t="shared" si="3"/>
        <v/>
      </c>
      <c r="T89" s="33"/>
      <c r="U89" s="30"/>
      <c r="V89" s="181" t="str">
        <f t="shared" si="4"/>
        <v/>
      </c>
      <c r="W89" s="181" t="str">
        <f t="shared" si="5"/>
        <v/>
      </c>
      <c r="X89" s="30" t="s">
        <v>479</v>
      </c>
      <c r="Y89" s="30" t="s">
        <v>480</v>
      </c>
      <c r="Z89" s="30"/>
      <c r="AA89" s="30"/>
      <c r="AB89" s="37">
        <f>IFERROR(VLOOKUP(B89,'Scheme Master'!$B$4:$C$79,2,FALSE),"")</f>
        <v>720</v>
      </c>
      <c r="AC89" s="38" t="str">
        <f t="shared" si="6"/>
        <v/>
      </c>
      <c r="AD89" s="103"/>
      <c r="AE89" s="103"/>
      <c r="AF89" s="40" t="str">
        <f t="shared" si="7"/>
        <v/>
      </c>
      <c r="AG89" s="41" t="str">
        <f t="shared" si="8"/>
        <v/>
      </c>
      <c r="AH89" s="42" t="str">
        <f t="shared" si="9"/>
        <v/>
      </c>
      <c r="AI89" s="43" t="str">
        <f t="shared" si="10"/>
        <v/>
      </c>
      <c r="AJ89" s="44"/>
      <c r="AK89" s="104"/>
      <c r="AL89" s="65"/>
      <c r="AM89" s="64"/>
      <c r="AN89" s="65"/>
      <c r="AO89" s="43" t="str">
        <f t="shared" si="20"/>
        <v/>
      </c>
      <c r="AP89" s="105"/>
      <c r="AQ89" s="105"/>
      <c r="AR89" s="105"/>
      <c r="AS89" s="103"/>
      <c r="AT89" s="107"/>
      <c r="AU89" s="105"/>
      <c r="AV89" s="105"/>
      <c r="AW89" s="105"/>
      <c r="AX89" s="105"/>
      <c r="AY89" s="105"/>
    </row>
    <row r="90" ht="21.75" customHeight="1" outlineLevel="1">
      <c r="A90" s="183">
        <f t="shared" si="14"/>
        <v>89</v>
      </c>
      <c r="B90" s="30" t="s">
        <v>45</v>
      </c>
      <c r="C90" s="182">
        <v>3759213.0</v>
      </c>
      <c r="D90" s="169" t="s">
        <v>145</v>
      </c>
      <c r="E90" s="30" t="s">
        <v>433</v>
      </c>
      <c r="F90" s="30"/>
      <c r="G90" s="30" t="s">
        <v>146</v>
      </c>
      <c r="H90" s="30" t="s">
        <v>147</v>
      </c>
      <c r="I90" s="30" t="s">
        <v>438</v>
      </c>
      <c r="J90" s="30" t="s">
        <v>439</v>
      </c>
      <c r="K90" s="33">
        <v>46126.0</v>
      </c>
      <c r="L90" s="33">
        <v>46126.0</v>
      </c>
      <c r="M90" s="30">
        <v>33.0</v>
      </c>
      <c r="N90" s="30">
        <v>24.0</v>
      </c>
      <c r="O90" s="30">
        <f t="shared" si="16"/>
        <v>9</v>
      </c>
      <c r="P90" s="30">
        <v>21.0</v>
      </c>
      <c r="Q90" s="30">
        <f t="shared" si="19"/>
        <v>3</v>
      </c>
      <c r="R90" s="30">
        <v>24.0</v>
      </c>
      <c r="S90" s="30">
        <f t="shared" si="3"/>
        <v>0</v>
      </c>
      <c r="T90" s="33">
        <v>46126.0</v>
      </c>
      <c r="U90" s="30" t="s">
        <v>150</v>
      </c>
      <c r="V90" s="181">
        <f t="shared" si="4"/>
        <v>1</v>
      </c>
      <c r="W90" s="181">
        <f t="shared" si="5"/>
        <v>0</v>
      </c>
      <c r="X90" s="30" t="s">
        <v>440</v>
      </c>
      <c r="Y90" s="30" t="s">
        <v>441</v>
      </c>
      <c r="Z90" s="30" t="s">
        <v>500</v>
      </c>
      <c r="AA90" s="30" t="s">
        <v>502</v>
      </c>
      <c r="AB90" s="37">
        <f>IFERROR(VLOOKUP(B90,'Scheme Master'!$B$4:$C$79,2,FALSE),"")</f>
        <v>360</v>
      </c>
      <c r="AC90" s="38">
        <f t="shared" si="6"/>
        <v>8640</v>
      </c>
      <c r="AD90" s="108"/>
      <c r="AE90" s="108"/>
      <c r="AF90" s="40" t="str">
        <f t="shared" si="7"/>
        <v/>
      </c>
      <c r="AG90" s="41" t="str">
        <f t="shared" si="8"/>
        <v/>
      </c>
      <c r="AH90" s="42" t="str">
        <f t="shared" si="9"/>
        <v/>
      </c>
      <c r="AI90" s="43" t="str">
        <f t="shared" si="10"/>
        <v/>
      </c>
      <c r="AJ90" s="44"/>
      <c r="AK90" s="71"/>
      <c r="AL90" s="54"/>
      <c r="AM90" s="53"/>
      <c r="AN90" s="54"/>
      <c r="AO90" s="43" t="str">
        <f t="shared" si="20"/>
        <v/>
      </c>
      <c r="AP90" s="109"/>
      <c r="AQ90" s="109"/>
      <c r="AR90" s="109"/>
      <c r="AS90" s="108"/>
      <c r="AT90" s="111"/>
      <c r="AU90" s="109"/>
      <c r="AV90" s="109"/>
      <c r="AW90" s="109"/>
      <c r="AX90" s="109"/>
      <c r="AY90" s="109"/>
    </row>
    <row r="91" ht="21.75" customHeight="1" outlineLevel="1">
      <c r="A91" s="183">
        <f t="shared" si="14"/>
        <v>90</v>
      </c>
      <c r="B91" s="30" t="s">
        <v>45</v>
      </c>
      <c r="C91" s="184">
        <v>3761653.0</v>
      </c>
      <c r="D91" s="169" t="s">
        <v>188</v>
      </c>
      <c r="E91" s="30" t="s">
        <v>487</v>
      </c>
      <c r="F91" s="30"/>
      <c r="G91" s="30" t="s">
        <v>197</v>
      </c>
      <c r="H91" s="30" t="s">
        <v>547</v>
      </c>
      <c r="I91" s="30" t="s">
        <v>548</v>
      </c>
      <c r="J91" s="30" t="s">
        <v>182</v>
      </c>
      <c r="K91" s="33">
        <v>46126.0</v>
      </c>
      <c r="L91" s="33">
        <v>46126.0</v>
      </c>
      <c r="M91" s="30">
        <v>30.0</v>
      </c>
      <c r="N91" s="30">
        <v>20.0</v>
      </c>
      <c r="O91" s="30">
        <f t="shared" si="16"/>
        <v>10</v>
      </c>
      <c r="P91" s="30">
        <v>1.0</v>
      </c>
      <c r="Q91" s="30">
        <f t="shared" si="19"/>
        <v>19</v>
      </c>
      <c r="R91" s="30">
        <v>20.0</v>
      </c>
      <c r="S91" s="30">
        <f t="shared" si="3"/>
        <v>0</v>
      </c>
      <c r="T91" s="33">
        <v>46126.0</v>
      </c>
      <c r="U91" s="30" t="s">
        <v>150</v>
      </c>
      <c r="V91" s="181">
        <f t="shared" si="4"/>
        <v>1</v>
      </c>
      <c r="W91" s="181">
        <f t="shared" si="5"/>
        <v>0</v>
      </c>
      <c r="X91" s="30" t="s">
        <v>549</v>
      </c>
      <c r="Y91" s="30" t="s">
        <v>550</v>
      </c>
      <c r="Z91" s="30"/>
      <c r="AA91" s="30"/>
      <c r="AB91" s="37">
        <f>IFERROR(VLOOKUP(B91,'Scheme Master'!$B$4:$C$79,2,FALSE),"")</f>
        <v>360</v>
      </c>
      <c r="AC91" s="38">
        <f t="shared" si="6"/>
        <v>7200</v>
      </c>
      <c r="AD91" s="103"/>
      <c r="AE91" s="103"/>
      <c r="AF91" s="40" t="str">
        <f t="shared" si="7"/>
        <v/>
      </c>
      <c r="AG91" s="41" t="str">
        <f t="shared" si="8"/>
        <v/>
      </c>
      <c r="AH91" s="42" t="str">
        <f t="shared" si="9"/>
        <v/>
      </c>
      <c r="AI91" s="43" t="str">
        <f t="shared" si="10"/>
        <v/>
      </c>
      <c r="AJ91" s="44"/>
      <c r="AK91" s="104"/>
      <c r="AL91" s="65"/>
      <c r="AM91" s="64"/>
      <c r="AN91" s="65"/>
      <c r="AO91" s="43" t="str">
        <f t="shared" si="20"/>
        <v/>
      </c>
      <c r="AP91" s="105"/>
      <c r="AQ91" s="105"/>
      <c r="AR91" s="105"/>
      <c r="AS91" s="103"/>
      <c r="AT91" s="107"/>
      <c r="AU91" s="105"/>
      <c r="AV91" s="105"/>
      <c r="AW91" s="105"/>
      <c r="AX91" s="105"/>
      <c r="AY91" s="105"/>
    </row>
    <row r="92" ht="21.75" customHeight="1" outlineLevel="1">
      <c r="A92" s="183">
        <f t="shared" si="14"/>
        <v>91</v>
      </c>
      <c r="B92" s="30" t="s">
        <v>45</v>
      </c>
      <c r="C92" s="161">
        <v>3760024.0</v>
      </c>
      <c r="D92" s="169" t="s">
        <v>145</v>
      </c>
      <c r="E92" s="30" t="s">
        <v>178</v>
      </c>
      <c r="F92" s="30"/>
      <c r="G92" s="30" t="s">
        <v>179</v>
      </c>
      <c r="H92" s="30" t="s">
        <v>551</v>
      </c>
      <c r="I92" s="30" t="s">
        <v>552</v>
      </c>
      <c r="J92" s="30" t="s">
        <v>553</v>
      </c>
      <c r="K92" s="33">
        <v>46127.0</v>
      </c>
      <c r="L92" s="33">
        <v>46127.0</v>
      </c>
      <c r="M92" s="30">
        <v>41.0</v>
      </c>
      <c r="N92" s="30">
        <v>24.0</v>
      </c>
      <c r="O92" s="30">
        <f t="shared" si="16"/>
        <v>17</v>
      </c>
      <c r="P92" s="30"/>
      <c r="Q92" s="30" t="str">
        <f t="shared" si="19"/>
        <v/>
      </c>
      <c r="R92" s="30"/>
      <c r="S92" s="30" t="str">
        <f t="shared" si="3"/>
        <v/>
      </c>
      <c r="T92" s="33"/>
      <c r="U92" s="30"/>
      <c r="V92" s="181">
        <f t="shared" si="4"/>
        <v>0</v>
      </c>
      <c r="W92" s="181">
        <v>0.0</v>
      </c>
      <c r="X92" s="30" t="s">
        <v>554</v>
      </c>
      <c r="Y92" s="30" t="s">
        <v>555</v>
      </c>
      <c r="Z92" s="30"/>
      <c r="AA92" s="30"/>
      <c r="AB92" s="37">
        <f>IFERROR(VLOOKUP(B92,'Scheme Master'!$B$4:$C$79,2,FALSE),"")</f>
        <v>360</v>
      </c>
      <c r="AC92" s="38">
        <f t="shared" si="6"/>
        <v>8640</v>
      </c>
      <c r="AD92" s="122">
        <v>3000.0</v>
      </c>
      <c r="AE92" s="108"/>
      <c r="AF92" s="40">
        <f t="shared" si="7"/>
        <v>3000</v>
      </c>
      <c r="AG92" s="41">
        <f t="shared" si="8"/>
        <v>5640</v>
      </c>
      <c r="AH92" s="42">
        <f t="shared" si="9"/>
        <v>0.3472222222</v>
      </c>
      <c r="AI92" s="43" t="str">
        <f t="shared" si="10"/>
        <v>✅ Auto-Approved</v>
      </c>
      <c r="AJ92" s="44"/>
      <c r="AK92" s="71"/>
      <c r="AL92" s="54"/>
      <c r="AM92" s="53"/>
      <c r="AN92" s="54"/>
      <c r="AO92" s="43" t="str">
        <f t="shared" si="20"/>
        <v>✅ Approved (Auto - Within Budget)</v>
      </c>
      <c r="AP92" s="109"/>
      <c r="AQ92" s="109"/>
      <c r="AR92" s="109"/>
      <c r="AS92" s="108"/>
      <c r="AT92" s="111"/>
      <c r="AU92" s="109"/>
      <c r="AV92" s="109"/>
      <c r="AW92" s="109"/>
      <c r="AX92" s="109"/>
      <c r="AY92" s="109"/>
    </row>
    <row r="93" ht="21.75" customHeight="1" outlineLevel="1">
      <c r="A93" s="183">
        <f t="shared" si="14"/>
        <v>92</v>
      </c>
      <c r="B93" s="30" t="s">
        <v>17</v>
      </c>
      <c r="C93" s="30">
        <v>3723643.0</v>
      </c>
      <c r="D93" s="169" t="s">
        <v>161</v>
      </c>
      <c r="E93" s="30" t="s">
        <v>178</v>
      </c>
      <c r="F93" s="30"/>
      <c r="G93" s="30" t="s">
        <v>300</v>
      </c>
      <c r="H93" s="30" t="s">
        <v>556</v>
      </c>
      <c r="I93" s="30" t="s">
        <v>557</v>
      </c>
      <c r="J93" s="30" t="s">
        <v>182</v>
      </c>
      <c r="K93" s="33">
        <v>46127.0</v>
      </c>
      <c r="L93" s="33">
        <v>46128.0</v>
      </c>
      <c r="M93" s="30">
        <v>30.0</v>
      </c>
      <c r="N93" s="30"/>
      <c r="O93" s="30" t="str">
        <f t="shared" si="16"/>
        <v/>
      </c>
      <c r="P93" s="30"/>
      <c r="Q93" s="30" t="str">
        <f t="shared" si="19"/>
        <v/>
      </c>
      <c r="R93" s="30"/>
      <c r="S93" s="30" t="str">
        <f t="shared" si="3"/>
        <v/>
      </c>
      <c r="T93" s="33"/>
      <c r="U93" s="30"/>
      <c r="V93" s="181" t="str">
        <f t="shared" si="4"/>
        <v/>
      </c>
      <c r="W93" s="181" t="str">
        <f t="shared" ref="W93:W111" si="21">IFERROR(S93/N93,"")</f>
        <v/>
      </c>
      <c r="X93" s="30" t="s">
        <v>558</v>
      </c>
      <c r="Y93" s="30" t="s">
        <v>559</v>
      </c>
      <c r="Z93" s="30"/>
      <c r="AA93" s="30"/>
      <c r="AB93" s="37">
        <f>IFERROR(VLOOKUP(B93,'Scheme Master'!$B$4:$C$79,2,FALSE),"")</f>
        <v>540</v>
      </c>
      <c r="AC93" s="38" t="str">
        <f t="shared" si="6"/>
        <v/>
      </c>
      <c r="AD93" s="103"/>
      <c r="AE93" s="103"/>
      <c r="AF93" s="40" t="str">
        <f t="shared" si="7"/>
        <v/>
      </c>
      <c r="AG93" s="41" t="str">
        <f t="shared" si="8"/>
        <v/>
      </c>
      <c r="AH93" s="42" t="str">
        <f t="shared" si="9"/>
        <v/>
      </c>
      <c r="AI93" s="43" t="str">
        <f t="shared" si="10"/>
        <v/>
      </c>
      <c r="AJ93" s="44"/>
      <c r="AK93" s="104"/>
      <c r="AL93" s="65"/>
      <c r="AM93" s="64"/>
      <c r="AN93" s="65"/>
      <c r="AO93" s="43" t="str">
        <f t="shared" si="20"/>
        <v/>
      </c>
      <c r="AP93" s="105"/>
      <c r="AQ93" s="105"/>
      <c r="AR93" s="105"/>
      <c r="AS93" s="103"/>
      <c r="AT93" s="107"/>
      <c r="AU93" s="105"/>
      <c r="AV93" s="105"/>
      <c r="AW93" s="105"/>
      <c r="AX93" s="105"/>
      <c r="AY93" s="105"/>
    </row>
    <row r="94" ht="21.75" customHeight="1" outlineLevel="1">
      <c r="A94" s="183">
        <f t="shared" si="14"/>
        <v>93</v>
      </c>
      <c r="B94" s="30" t="s">
        <v>36</v>
      </c>
      <c r="C94" s="161" t="s">
        <v>560</v>
      </c>
      <c r="D94" s="169" t="s">
        <v>161</v>
      </c>
      <c r="E94" s="30" t="s">
        <v>433</v>
      </c>
      <c r="F94" s="30"/>
      <c r="G94" s="30" t="s">
        <v>432</v>
      </c>
      <c r="H94" s="30" t="s">
        <v>561</v>
      </c>
      <c r="I94" s="30"/>
      <c r="J94" s="30"/>
      <c r="K94" s="33">
        <v>46127.0</v>
      </c>
      <c r="L94" s="33">
        <v>46127.0</v>
      </c>
      <c r="M94" s="30">
        <v>5.0</v>
      </c>
      <c r="N94" s="30"/>
      <c r="O94" s="30" t="str">
        <f t="shared" si="16"/>
        <v/>
      </c>
      <c r="P94" s="30"/>
      <c r="Q94" s="30" t="str">
        <f t="shared" si="19"/>
        <v/>
      </c>
      <c r="R94" s="30"/>
      <c r="S94" s="30" t="str">
        <f t="shared" si="3"/>
        <v/>
      </c>
      <c r="T94" s="33"/>
      <c r="U94" s="30"/>
      <c r="V94" s="181" t="str">
        <f t="shared" si="4"/>
        <v/>
      </c>
      <c r="W94" s="181" t="str">
        <f t="shared" si="21"/>
        <v/>
      </c>
      <c r="X94" s="30"/>
      <c r="Y94" s="30"/>
      <c r="Z94" s="30"/>
      <c r="AA94" s="30"/>
      <c r="AB94" s="37">
        <f>IFERROR(VLOOKUP(B94,'Scheme Master'!$B$4:$C$79,2,FALSE),"")</f>
        <v>70</v>
      </c>
      <c r="AC94" s="38" t="str">
        <f t="shared" si="6"/>
        <v/>
      </c>
      <c r="AD94" s="108"/>
      <c r="AE94" s="108"/>
      <c r="AF94" s="40" t="str">
        <f t="shared" si="7"/>
        <v/>
      </c>
      <c r="AG94" s="41" t="str">
        <f t="shared" si="8"/>
        <v/>
      </c>
      <c r="AH94" s="42" t="str">
        <f t="shared" si="9"/>
        <v/>
      </c>
      <c r="AI94" s="43" t="str">
        <f t="shared" si="10"/>
        <v/>
      </c>
      <c r="AJ94" s="44"/>
      <c r="AK94" s="71"/>
      <c r="AL94" s="54"/>
      <c r="AM94" s="53"/>
      <c r="AN94" s="54"/>
      <c r="AO94" s="43" t="str">
        <f t="shared" si="20"/>
        <v/>
      </c>
      <c r="AP94" s="109"/>
      <c r="AQ94" s="109"/>
      <c r="AR94" s="109"/>
      <c r="AS94" s="108"/>
      <c r="AT94" s="111"/>
      <c r="AU94" s="109"/>
      <c r="AV94" s="109"/>
      <c r="AW94" s="109"/>
      <c r="AX94" s="109"/>
      <c r="AY94" s="109"/>
    </row>
    <row r="95" ht="21.75" customHeight="1" outlineLevel="1">
      <c r="A95" s="183">
        <f t="shared" si="14"/>
        <v>94</v>
      </c>
      <c r="B95" s="178" t="s">
        <v>45</v>
      </c>
      <c r="C95" s="185">
        <v>3762478.0</v>
      </c>
      <c r="D95" s="179" t="s">
        <v>188</v>
      </c>
      <c r="E95" s="178" t="s">
        <v>487</v>
      </c>
      <c r="F95" s="178"/>
      <c r="G95" s="178" t="s">
        <v>330</v>
      </c>
      <c r="H95" s="178" t="s">
        <v>562</v>
      </c>
      <c r="I95" s="178" t="s">
        <v>563</v>
      </c>
      <c r="J95" s="178" t="s">
        <v>333</v>
      </c>
      <c r="K95" s="180">
        <v>46129.0</v>
      </c>
      <c r="L95" s="180">
        <v>46129.0</v>
      </c>
      <c r="M95" s="30">
        <v>15.0</v>
      </c>
      <c r="N95" s="30"/>
      <c r="O95" s="30" t="str">
        <f t="shared" si="16"/>
        <v/>
      </c>
      <c r="P95" s="30"/>
      <c r="Q95" s="30" t="str">
        <f t="shared" si="19"/>
        <v/>
      </c>
      <c r="R95" s="30"/>
      <c r="S95" s="30" t="str">
        <f t="shared" si="3"/>
        <v/>
      </c>
      <c r="T95" s="33"/>
      <c r="U95" s="30"/>
      <c r="V95" s="181" t="str">
        <f t="shared" si="4"/>
        <v/>
      </c>
      <c r="W95" s="181" t="str">
        <f t="shared" si="21"/>
        <v/>
      </c>
      <c r="X95" s="30" t="s">
        <v>564</v>
      </c>
      <c r="Y95" s="30" t="s">
        <v>565</v>
      </c>
      <c r="Z95" s="30" t="s">
        <v>564</v>
      </c>
      <c r="AA95" s="30" t="s">
        <v>566</v>
      </c>
      <c r="AB95" s="37">
        <f>IFERROR(VLOOKUP(B95,'Scheme Master'!$B$4:$C$79,2,FALSE),"")</f>
        <v>360</v>
      </c>
      <c r="AC95" s="38" t="str">
        <f t="shared" si="6"/>
        <v/>
      </c>
      <c r="AD95" s="103"/>
      <c r="AE95" s="103"/>
      <c r="AF95" s="40" t="str">
        <f t="shared" si="7"/>
        <v/>
      </c>
      <c r="AG95" s="41" t="str">
        <f t="shared" si="8"/>
        <v/>
      </c>
      <c r="AH95" s="42" t="str">
        <f t="shared" si="9"/>
        <v/>
      </c>
      <c r="AI95" s="43" t="str">
        <f t="shared" si="10"/>
        <v/>
      </c>
      <c r="AJ95" s="44"/>
      <c r="AK95" s="104"/>
      <c r="AL95" s="65"/>
      <c r="AM95" s="64"/>
      <c r="AN95" s="65"/>
      <c r="AO95" s="43" t="str">
        <f t="shared" si="20"/>
        <v/>
      </c>
      <c r="AP95" s="105"/>
      <c r="AQ95" s="105"/>
      <c r="AR95" s="105"/>
      <c r="AS95" s="103"/>
      <c r="AT95" s="107"/>
      <c r="AU95" s="105"/>
      <c r="AV95" s="105"/>
      <c r="AW95" s="105"/>
      <c r="AX95" s="105"/>
      <c r="AY95" s="105"/>
    </row>
    <row r="96" ht="21.75" customHeight="1" outlineLevel="1">
      <c r="A96" s="183">
        <f t="shared" si="14"/>
        <v>95</v>
      </c>
      <c r="B96" s="30" t="s">
        <v>45</v>
      </c>
      <c r="C96" s="161">
        <v>3760887.0</v>
      </c>
      <c r="D96" s="169" t="s">
        <v>145</v>
      </c>
      <c r="E96" s="30" t="s">
        <v>433</v>
      </c>
      <c r="F96" s="30"/>
      <c r="G96" s="30" t="s">
        <v>146</v>
      </c>
      <c r="H96" s="30" t="s">
        <v>402</v>
      </c>
      <c r="I96" s="30" t="s">
        <v>403</v>
      </c>
      <c r="J96" s="30" t="s">
        <v>349</v>
      </c>
      <c r="K96" s="33">
        <v>46127.0</v>
      </c>
      <c r="L96" s="33">
        <v>46127.0</v>
      </c>
      <c r="M96" s="30">
        <v>11.0</v>
      </c>
      <c r="N96" s="30">
        <v>8.0</v>
      </c>
      <c r="O96" s="30">
        <f t="shared" si="16"/>
        <v>3</v>
      </c>
      <c r="P96" s="30">
        <v>8.0</v>
      </c>
      <c r="Q96" s="30">
        <f t="shared" si="19"/>
        <v>0</v>
      </c>
      <c r="R96" s="30">
        <v>8.0</v>
      </c>
      <c r="S96" s="30">
        <f t="shared" si="3"/>
        <v>0</v>
      </c>
      <c r="T96" s="33">
        <v>46127.0</v>
      </c>
      <c r="U96" s="30" t="s">
        <v>150</v>
      </c>
      <c r="V96" s="181">
        <f t="shared" si="4"/>
        <v>1</v>
      </c>
      <c r="W96" s="181">
        <f t="shared" si="21"/>
        <v>0</v>
      </c>
      <c r="X96" s="30" t="s">
        <v>567</v>
      </c>
      <c r="Y96" s="30" t="s">
        <v>568</v>
      </c>
      <c r="Z96" s="30" t="s">
        <v>569</v>
      </c>
      <c r="AA96" s="30" t="s">
        <v>406</v>
      </c>
      <c r="AB96" s="37">
        <f>IFERROR(VLOOKUP(B96,'Scheme Master'!$B$4:$C$79,2,FALSE),"")</f>
        <v>360</v>
      </c>
      <c r="AC96" s="38">
        <f t="shared" si="6"/>
        <v>2880</v>
      </c>
      <c r="AD96" s="122">
        <v>2000.0</v>
      </c>
      <c r="AE96" s="39">
        <v>600.0</v>
      </c>
      <c r="AF96" s="40">
        <f t="shared" si="7"/>
        <v>2600</v>
      </c>
      <c r="AG96" s="41">
        <f t="shared" si="8"/>
        <v>280</v>
      </c>
      <c r="AH96" s="42">
        <f t="shared" si="9"/>
        <v>0.9027777778</v>
      </c>
      <c r="AI96" s="43" t="str">
        <f t="shared" si="10"/>
        <v>⚠️ Approval Required</v>
      </c>
      <c r="AJ96" s="154" t="s">
        <v>415</v>
      </c>
      <c r="AK96" s="28" t="s">
        <v>155</v>
      </c>
      <c r="AL96" s="54"/>
      <c r="AM96" s="53"/>
      <c r="AN96" s="54"/>
      <c r="AO96" s="43" t="str">
        <f t="shared" si="20"/>
        <v>⏳ Awaiting Approval</v>
      </c>
      <c r="AP96" s="109"/>
      <c r="AQ96" s="109"/>
      <c r="AR96" s="109"/>
      <c r="AS96" s="108"/>
      <c r="AT96" s="111"/>
      <c r="AU96" s="109"/>
      <c r="AV96" s="109"/>
      <c r="AW96" s="109"/>
      <c r="AX96" s="109"/>
      <c r="AY96" s="109"/>
    </row>
    <row r="97" ht="21.75" customHeight="1" outlineLevel="1">
      <c r="A97" s="183">
        <f t="shared" si="14"/>
        <v>96</v>
      </c>
      <c r="B97" s="178" t="s">
        <v>45</v>
      </c>
      <c r="C97" s="161">
        <v>3760057.0</v>
      </c>
      <c r="D97" s="179" t="s">
        <v>145</v>
      </c>
      <c r="E97" s="178" t="s">
        <v>433</v>
      </c>
      <c r="F97" s="178"/>
      <c r="G97" s="178" t="s">
        <v>146</v>
      </c>
      <c r="H97" s="178" t="s">
        <v>570</v>
      </c>
      <c r="I97" s="178" t="s">
        <v>571</v>
      </c>
      <c r="J97" s="178" t="s">
        <v>193</v>
      </c>
      <c r="K97" s="33">
        <v>46128.0</v>
      </c>
      <c r="L97" s="33">
        <v>46128.0</v>
      </c>
      <c r="M97" s="30">
        <v>11.0</v>
      </c>
      <c r="N97" s="30">
        <v>5.0</v>
      </c>
      <c r="O97" s="30">
        <f t="shared" si="16"/>
        <v>6</v>
      </c>
      <c r="P97" s="30">
        <v>5.0</v>
      </c>
      <c r="Q97" s="30">
        <f t="shared" si="19"/>
        <v>0</v>
      </c>
      <c r="R97" s="30">
        <v>5.0</v>
      </c>
      <c r="S97" s="30">
        <f t="shared" si="3"/>
        <v>0</v>
      </c>
      <c r="T97" s="33">
        <v>46128.0</v>
      </c>
      <c r="U97" s="30" t="s">
        <v>150</v>
      </c>
      <c r="V97" s="181">
        <f t="shared" si="4"/>
        <v>1</v>
      </c>
      <c r="W97" s="181">
        <f t="shared" si="21"/>
        <v>0</v>
      </c>
      <c r="X97" s="30" t="s">
        <v>572</v>
      </c>
      <c r="Y97" s="30" t="s">
        <v>573</v>
      </c>
      <c r="Z97" s="30" t="s">
        <v>574</v>
      </c>
      <c r="AA97" s="30" t="s">
        <v>575</v>
      </c>
      <c r="AB97" s="37">
        <f>IFERROR(VLOOKUP(B97,'Scheme Master'!$B$4:$C$79,2,FALSE),"")</f>
        <v>360</v>
      </c>
      <c r="AC97" s="38"/>
      <c r="AD97" s="118">
        <v>2000.0</v>
      </c>
      <c r="AE97" s="61">
        <v>600.0</v>
      </c>
      <c r="AF97" s="40">
        <f t="shared" si="7"/>
        <v>2600</v>
      </c>
      <c r="AG97" s="41" t="str">
        <f t="shared" si="8"/>
        <v/>
      </c>
      <c r="AH97" s="42" t="str">
        <f t="shared" si="9"/>
        <v/>
      </c>
      <c r="AI97" s="43" t="str">
        <f t="shared" si="10"/>
        <v/>
      </c>
      <c r="AJ97" s="44"/>
      <c r="AK97" s="104"/>
      <c r="AL97" s="65"/>
      <c r="AM97" s="64"/>
      <c r="AN97" s="65"/>
      <c r="AO97" s="43" t="str">
        <f t="shared" si="20"/>
        <v/>
      </c>
      <c r="AP97" s="105"/>
      <c r="AQ97" s="105"/>
      <c r="AR97" s="105"/>
      <c r="AS97" s="103"/>
      <c r="AT97" s="107"/>
      <c r="AU97" s="105"/>
      <c r="AV97" s="105"/>
      <c r="AW97" s="105"/>
      <c r="AX97" s="105"/>
      <c r="AY97" s="105"/>
    </row>
    <row r="98" ht="21.75" customHeight="1" outlineLevel="1">
      <c r="A98" s="183">
        <f t="shared" si="14"/>
        <v>97</v>
      </c>
      <c r="B98" s="30" t="s">
        <v>45</v>
      </c>
      <c r="C98" s="161">
        <v>3763199.0</v>
      </c>
      <c r="D98" s="169" t="s">
        <v>188</v>
      </c>
      <c r="E98" s="30" t="s">
        <v>433</v>
      </c>
      <c r="F98" s="30"/>
      <c r="G98" s="30" t="s">
        <v>146</v>
      </c>
      <c r="H98" s="30" t="s">
        <v>576</v>
      </c>
      <c r="I98" s="30" t="s">
        <v>542</v>
      </c>
      <c r="J98" s="30" t="s">
        <v>439</v>
      </c>
      <c r="K98" s="33">
        <v>46127.0</v>
      </c>
      <c r="L98" s="33">
        <v>46127.0</v>
      </c>
      <c r="M98" s="30">
        <v>25.0</v>
      </c>
      <c r="N98" s="30">
        <v>15.0</v>
      </c>
      <c r="O98" s="30">
        <f t="shared" si="16"/>
        <v>10</v>
      </c>
      <c r="P98" s="30">
        <v>9.0</v>
      </c>
      <c r="Q98" s="30">
        <f t="shared" si="19"/>
        <v>6</v>
      </c>
      <c r="R98" s="30">
        <v>15.0</v>
      </c>
      <c r="S98" s="30">
        <f t="shared" si="3"/>
        <v>0</v>
      </c>
      <c r="T98" s="33">
        <v>46127.0</v>
      </c>
      <c r="U98" s="30" t="s">
        <v>150</v>
      </c>
      <c r="V98" s="181">
        <f t="shared" si="4"/>
        <v>1</v>
      </c>
      <c r="W98" s="181">
        <f t="shared" si="21"/>
        <v>0</v>
      </c>
      <c r="X98" s="30" t="s">
        <v>577</v>
      </c>
      <c r="Y98" s="30" t="s">
        <v>544</v>
      </c>
      <c r="Z98" s="30"/>
      <c r="AA98" s="30"/>
      <c r="AB98" s="37">
        <f>IFERROR(VLOOKUP(B98,'Scheme Master'!$B$4:$C$79,2,FALSE),"")</f>
        <v>360</v>
      </c>
      <c r="AC98" s="38">
        <f t="shared" ref="AC98:AC115" si="22">IF(AND(AB98&lt;&gt;"",N98&lt;&gt;""),AB98*N98,"")</f>
        <v>5400</v>
      </c>
      <c r="AD98" s="108"/>
      <c r="AE98" s="108"/>
      <c r="AF98" s="40" t="str">
        <f t="shared" si="7"/>
        <v/>
      </c>
      <c r="AG98" s="41" t="str">
        <f t="shared" si="8"/>
        <v/>
      </c>
      <c r="AH98" s="42" t="str">
        <f t="shared" si="9"/>
        <v/>
      </c>
      <c r="AI98" s="43" t="str">
        <f t="shared" si="10"/>
        <v/>
      </c>
      <c r="AJ98" s="44"/>
      <c r="AK98" s="71"/>
      <c r="AL98" s="54"/>
      <c r="AM98" s="53"/>
      <c r="AN98" s="54"/>
      <c r="AO98" s="43" t="str">
        <f t="shared" si="20"/>
        <v/>
      </c>
      <c r="AP98" s="109"/>
      <c r="AQ98" s="109"/>
      <c r="AR98" s="109"/>
      <c r="AS98" s="108"/>
      <c r="AT98" s="111"/>
      <c r="AU98" s="109"/>
      <c r="AV98" s="109"/>
      <c r="AW98" s="109"/>
      <c r="AX98" s="109"/>
      <c r="AY98" s="109"/>
    </row>
    <row r="99" ht="21.75" customHeight="1" outlineLevel="1">
      <c r="A99" s="183">
        <f t="shared" si="14"/>
        <v>98</v>
      </c>
      <c r="B99" s="30" t="s">
        <v>45</v>
      </c>
      <c r="C99" s="161">
        <v>3762282.0</v>
      </c>
      <c r="D99" s="169" t="s">
        <v>188</v>
      </c>
      <c r="E99" s="30" t="s">
        <v>178</v>
      </c>
      <c r="F99" s="30"/>
      <c r="G99" s="30" t="s">
        <v>179</v>
      </c>
      <c r="H99" s="30" t="s">
        <v>578</v>
      </c>
      <c r="I99" s="30" t="s">
        <v>579</v>
      </c>
      <c r="J99" s="30" t="s">
        <v>166</v>
      </c>
      <c r="K99" s="33">
        <v>46128.0</v>
      </c>
      <c r="L99" s="33">
        <v>46128.0</v>
      </c>
      <c r="M99" s="30">
        <v>11.0</v>
      </c>
      <c r="N99" s="30">
        <v>5.0</v>
      </c>
      <c r="O99" s="30">
        <f t="shared" si="16"/>
        <v>6</v>
      </c>
      <c r="P99" s="30">
        <v>5.0</v>
      </c>
      <c r="Q99" s="30">
        <f t="shared" si="19"/>
        <v>0</v>
      </c>
      <c r="R99" s="30">
        <v>5.0</v>
      </c>
      <c r="S99" s="30">
        <f t="shared" si="3"/>
        <v>0</v>
      </c>
      <c r="T99" s="33">
        <v>46128.0</v>
      </c>
      <c r="U99" s="30" t="s">
        <v>150</v>
      </c>
      <c r="V99" s="181">
        <f t="shared" si="4"/>
        <v>1</v>
      </c>
      <c r="W99" s="181">
        <f t="shared" si="21"/>
        <v>0</v>
      </c>
      <c r="X99" s="30" t="s">
        <v>580</v>
      </c>
      <c r="Y99" s="30" t="s">
        <v>581</v>
      </c>
      <c r="Z99" s="30"/>
      <c r="AA99" s="30"/>
      <c r="AB99" s="37">
        <f>IFERROR(VLOOKUP(B99,'Scheme Master'!$B$4:$C$79,2,FALSE),"")</f>
        <v>360</v>
      </c>
      <c r="AC99" s="38">
        <f t="shared" si="22"/>
        <v>1800</v>
      </c>
      <c r="AD99" s="103"/>
      <c r="AE99" s="103"/>
      <c r="AF99" s="40" t="str">
        <f t="shared" si="7"/>
        <v/>
      </c>
      <c r="AG99" s="41" t="str">
        <f t="shared" si="8"/>
        <v/>
      </c>
      <c r="AH99" s="42" t="str">
        <f t="shared" si="9"/>
        <v/>
      </c>
      <c r="AI99" s="43" t="str">
        <f t="shared" si="10"/>
        <v/>
      </c>
      <c r="AJ99" s="44"/>
      <c r="AK99" s="104"/>
      <c r="AL99" s="65"/>
      <c r="AM99" s="64"/>
      <c r="AN99" s="65"/>
      <c r="AO99" s="43" t="str">
        <f t="shared" si="20"/>
        <v/>
      </c>
      <c r="AP99" s="105"/>
      <c r="AQ99" s="105"/>
      <c r="AR99" s="105"/>
      <c r="AS99" s="103"/>
      <c r="AT99" s="107"/>
      <c r="AU99" s="105"/>
      <c r="AV99" s="105"/>
      <c r="AW99" s="105"/>
      <c r="AX99" s="105"/>
      <c r="AY99" s="105"/>
    </row>
    <row r="100" ht="21.75" customHeight="1" outlineLevel="1">
      <c r="A100" s="183">
        <f t="shared" si="14"/>
        <v>99</v>
      </c>
      <c r="B100" s="178" t="s">
        <v>45</v>
      </c>
      <c r="C100" s="185">
        <v>3761960.0</v>
      </c>
      <c r="D100" s="179" t="s">
        <v>145</v>
      </c>
      <c r="E100" s="178" t="s">
        <v>487</v>
      </c>
      <c r="F100" s="178"/>
      <c r="G100" s="178" t="s">
        <v>197</v>
      </c>
      <c r="H100" s="178" t="s">
        <v>582</v>
      </c>
      <c r="I100" s="178" t="s">
        <v>398</v>
      </c>
      <c r="J100" s="178" t="s">
        <v>149</v>
      </c>
      <c r="K100" s="180">
        <v>46129.0</v>
      </c>
      <c r="L100" s="180">
        <v>46129.0</v>
      </c>
      <c r="M100" s="178">
        <v>10.0</v>
      </c>
      <c r="N100" s="178"/>
      <c r="O100" s="178" t="str">
        <f t="shared" si="16"/>
        <v/>
      </c>
      <c r="P100" s="178"/>
      <c r="Q100" s="30" t="str">
        <f t="shared" si="19"/>
        <v/>
      </c>
      <c r="R100" s="30"/>
      <c r="S100" s="30" t="str">
        <f t="shared" si="3"/>
        <v/>
      </c>
      <c r="T100" s="33"/>
      <c r="U100" s="30"/>
      <c r="V100" s="181" t="str">
        <f t="shared" si="4"/>
        <v/>
      </c>
      <c r="W100" s="181" t="str">
        <f t="shared" si="21"/>
        <v/>
      </c>
      <c r="X100" s="30" t="s">
        <v>583</v>
      </c>
      <c r="Y100" s="30" t="s">
        <v>584</v>
      </c>
      <c r="Z100" s="30" t="s">
        <v>585</v>
      </c>
      <c r="AA100" s="30" t="s">
        <v>586</v>
      </c>
      <c r="AB100" s="37">
        <f>IFERROR(VLOOKUP(B100,'Scheme Master'!$B$4:$C$79,2,FALSE),"")</f>
        <v>360</v>
      </c>
      <c r="AC100" s="38" t="str">
        <f t="shared" si="22"/>
        <v/>
      </c>
      <c r="AD100" s="108"/>
      <c r="AE100" s="108"/>
      <c r="AF100" s="40" t="str">
        <f t="shared" si="7"/>
        <v/>
      </c>
      <c r="AG100" s="41" t="str">
        <f t="shared" si="8"/>
        <v/>
      </c>
      <c r="AH100" s="42" t="str">
        <f t="shared" si="9"/>
        <v/>
      </c>
      <c r="AI100" s="43" t="str">
        <f t="shared" si="10"/>
        <v/>
      </c>
      <c r="AJ100" s="44"/>
      <c r="AK100" s="71"/>
      <c r="AL100" s="54"/>
      <c r="AM100" s="53"/>
      <c r="AN100" s="54"/>
      <c r="AO100" s="43" t="str">
        <f t="shared" si="20"/>
        <v/>
      </c>
      <c r="AP100" s="109"/>
      <c r="AQ100" s="109"/>
      <c r="AR100" s="109"/>
      <c r="AS100" s="108"/>
      <c r="AT100" s="111"/>
      <c r="AU100" s="109"/>
      <c r="AV100" s="109"/>
      <c r="AW100" s="109"/>
      <c r="AX100" s="109"/>
      <c r="AY100" s="109"/>
    </row>
    <row r="101" ht="21.75" customHeight="1" outlineLevel="1">
      <c r="A101" s="183">
        <f t="shared" si="14"/>
        <v>100</v>
      </c>
      <c r="B101" s="178" t="s">
        <v>45</v>
      </c>
      <c r="C101" s="161">
        <v>3756956.0</v>
      </c>
      <c r="D101" s="179" t="s">
        <v>145</v>
      </c>
      <c r="E101" s="178" t="s">
        <v>433</v>
      </c>
      <c r="F101" s="178"/>
      <c r="G101" s="178" t="s">
        <v>146</v>
      </c>
      <c r="H101" s="178" t="s">
        <v>171</v>
      </c>
      <c r="I101" s="178" t="s">
        <v>172</v>
      </c>
      <c r="J101" s="178" t="s">
        <v>173</v>
      </c>
      <c r="K101" s="180">
        <v>46129.0</v>
      </c>
      <c r="L101" s="180">
        <v>46129.0</v>
      </c>
      <c r="M101" s="178">
        <v>18.0</v>
      </c>
      <c r="N101" s="178">
        <v>16.0</v>
      </c>
      <c r="O101" s="178">
        <f t="shared" si="16"/>
        <v>2</v>
      </c>
      <c r="P101" s="178"/>
      <c r="Q101" s="30" t="str">
        <f t="shared" si="19"/>
        <v/>
      </c>
      <c r="R101" s="30">
        <v>16.0</v>
      </c>
      <c r="S101" s="30">
        <f t="shared" si="3"/>
        <v>0</v>
      </c>
      <c r="T101" s="33">
        <v>46129.0</v>
      </c>
      <c r="U101" s="30" t="s">
        <v>150</v>
      </c>
      <c r="V101" s="181">
        <f t="shared" si="4"/>
        <v>1</v>
      </c>
      <c r="W101" s="181">
        <f t="shared" si="21"/>
        <v>0</v>
      </c>
      <c r="X101" s="30" t="s">
        <v>174</v>
      </c>
      <c r="Y101" s="30" t="s">
        <v>587</v>
      </c>
      <c r="Z101" s="30" t="s">
        <v>230</v>
      </c>
      <c r="AA101" s="30" t="s">
        <v>177</v>
      </c>
      <c r="AB101" s="37">
        <f>IFERROR(VLOOKUP(B101,'Scheme Master'!$B$4:$C$79,2,FALSE),"")</f>
        <v>360</v>
      </c>
      <c r="AC101" s="38">
        <f t="shared" si="22"/>
        <v>5760</v>
      </c>
      <c r="AD101" s="103"/>
      <c r="AE101" s="103"/>
      <c r="AF101" s="40" t="str">
        <f t="shared" si="7"/>
        <v/>
      </c>
      <c r="AG101" s="41" t="str">
        <f t="shared" si="8"/>
        <v/>
      </c>
      <c r="AH101" s="42" t="str">
        <f t="shared" si="9"/>
        <v/>
      </c>
      <c r="AI101" s="43" t="str">
        <f t="shared" si="10"/>
        <v/>
      </c>
      <c r="AJ101" s="44"/>
      <c r="AK101" s="104"/>
      <c r="AL101" s="65"/>
      <c r="AM101" s="64"/>
      <c r="AN101" s="65"/>
      <c r="AO101" s="43" t="str">
        <f t="shared" si="20"/>
        <v/>
      </c>
      <c r="AP101" s="105"/>
      <c r="AQ101" s="105"/>
      <c r="AR101" s="105"/>
      <c r="AS101" s="103"/>
      <c r="AT101" s="107"/>
      <c r="AU101" s="105"/>
      <c r="AV101" s="105"/>
      <c r="AW101" s="105"/>
      <c r="AX101" s="105"/>
      <c r="AY101" s="105"/>
    </row>
    <row r="102" ht="21.75" customHeight="1" outlineLevel="1">
      <c r="A102" s="183">
        <f t="shared" si="14"/>
        <v>101</v>
      </c>
      <c r="B102" s="178" t="s">
        <v>45</v>
      </c>
      <c r="C102" s="185">
        <v>3765373.0</v>
      </c>
      <c r="D102" s="179" t="s">
        <v>188</v>
      </c>
      <c r="E102" s="178" t="s">
        <v>487</v>
      </c>
      <c r="F102" s="178"/>
      <c r="G102" s="178" t="s">
        <v>190</v>
      </c>
      <c r="H102" s="178" t="s">
        <v>588</v>
      </c>
      <c r="I102" s="178" t="s">
        <v>589</v>
      </c>
      <c r="J102" s="178" t="s">
        <v>590</v>
      </c>
      <c r="K102" s="180">
        <v>46129.0</v>
      </c>
      <c r="L102" s="180">
        <v>46129.0</v>
      </c>
      <c r="M102" s="178">
        <v>10.0</v>
      </c>
      <c r="N102" s="178">
        <v>9.0</v>
      </c>
      <c r="O102" s="178">
        <f t="shared" si="16"/>
        <v>1</v>
      </c>
      <c r="P102" s="178"/>
      <c r="Q102" s="30" t="str">
        <f t="shared" si="19"/>
        <v/>
      </c>
      <c r="R102" s="30">
        <v>9.0</v>
      </c>
      <c r="S102" s="30">
        <f t="shared" si="3"/>
        <v>0</v>
      </c>
      <c r="T102" s="33">
        <v>46129.0</v>
      </c>
      <c r="U102" s="30" t="s">
        <v>150</v>
      </c>
      <c r="V102" s="181">
        <f t="shared" si="4"/>
        <v>1</v>
      </c>
      <c r="W102" s="181">
        <f t="shared" si="21"/>
        <v>0</v>
      </c>
      <c r="X102" s="30" t="s">
        <v>591</v>
      </c>
      <c r="Y102" s="30" t="s">
        <v>592</v>
      </c>
      <c r="Z102" s="30" t="s">
        <v>591</v>
      </c>
      <c r="AA102" s="30" t="s">
        <v>593</v>
      </c>
      <c r="AB102" s="37">
        <f>IFERROR(VLOOKUP(B102,'Scheme Master'!$B$4:$C$79,2,FALSE),"")</f>
        <v>360</v>
      </c>
      <c r="AC102" s="38">
        <f t="shared" si="22"/>
        <v>3240</v>
      </c>
      <c r="AD102" s="108"/>
      <c r="AE102" s="108"/>
      <c r="AF102" s="40" t="str">
        <f t="shared" si="7"/>
        <v/>
      </c>
      <c r="AG102" s="41" t="str">
        <f t="shared" si="8"/>
        <v/>
      </c>
      <c r="AH102" s="42" t="str">
        <f t="shared" si="9"/>
        <v/>
      </c>
      <c r="AI102" s="43" t="str">
        <f t="shared" si="10"/>
        <v/>
      </c>
      <c r="AJ102" s="44"/>
      <c r="AK102" s="71"/>
      <c r="AL102" s="54"/>
      <c r="AM102" s="53"/>
      <c r="AN102" s="54"/>
      <c r="AO102" s="43" t="str">
        <f t="shared" si="20"/>
        <v/>
      </c>
      <c r="AP102" s="109"/>
      <c r="AQ102" s="109"/>
      <c r="AR102" s="109"/>
      <c r="AS102" s="108"/>
      <c r="AT102" s="111"/>
      <c r="AU102" s="109"/>
      <c r="AV102" s="109"/>
      <c r="AW102" s="109"/>
      <c r="AX102" s="109"/>
      <c r="AY102" s="109"/>
    </row>
    <row r="103" ht="21.75" customHeight="1" outlineLevel="1">
      <c r="A103" s="183">
        <f t="shared" si="14"/>
        <v>102</v>
      </c>
      <c r="B103" s="76" t="s">
        <v>45</v>
      </c>
      <c r="C103" s="76">
        <v>3764935.0</v>
      </c>
      <c r="D103" s="172" t="s">
        <v>188</v>
      </c>
      <c r="E103" s="76" t="s">
        <v>487</v>
      </c>
      <c r="F103" s="76"/>
      <c r="G103" s="76" t="s">
        <v>330</v>
      </c>
      <c r="H103" s="76" t="s">
        <v>594</v>
      </c>
      <c r="I103" s="76" t="s">
        <v>595</v>
      </c>
      <c r="J103" s="76" t="s">
        <v>166</v>
      </c>
      <c r="K103" s="173" t="s">
        <v>596</v>
      </c>
      <c r="L103" s="173">
        <v>46129.0</v>
      </c>
      <c r="M103" s="178">
        <v>8.0</v>
      </c>
      <c r="N103" s="178"/>
      <c r="O103" s="178" t="str">
        <f t="shared" si="16"/>
        <v/>
      </c>
      <c r="P103" s="178"/>
      <c r="Q103" s="30" t="str">
        <f t="shared" si="19"/>
        <v/>
      </c>
      <c r="R103" s="30"/>
      <c r="S103" s="30" t="str">
        <f t="shared" si="3"/>
        <v/>
      </c>
      <c r="T103" s="33"/>
      <c r="U103" s="30"/>
      <c r="V103" s="181" t="str">
        <f t="shared" si="4"/>
        <v/>
      </c>
      <c r="W103" s="181" t="str">
        <f t="shared" si="21"/>
        <v/>
      </c>
      <c r="X103" s="30"/>
      <c r="Y103" s="30"/>
      <c r="Z103" s="30"/>
      <c r="AA103" s="30"/>
      <c r="AB103" s="37">
        <f>IFERROR(VLOOKUP(B103,'Scheme Master'!$B$4:$C$79,2,FALSE),"")</f>
        <v>360</v>
      </c>
      <c r="AC103" s="38" t="str">
        <f t="shared" si="22"/>
        <v/>
      </c>
      <c r="AD103" s="103"/>
      <c r="AE103" s="103"/>
      <c r="AF103" s="40" t="str">
        <f t="shared" si="7"/>
        <v/>
      </c>
      <c r="AG103" s="41" t="str">
        <f t="shared" si="8"/>
        <v/>
      </c>
      <c r="AH103" s="42" t="str">
        <f t="shared" si="9"/>
        <v/>
      </c>
      <c r="AI103" s="43" t="str">
        <f t="shared" si="10"/>
        <v/>
      </c>
      <c r="AJ103" s="44"/>
      <c r="AK103" s="104"/>
      <c r="AL103" s="65"/>
      <c r="AM103" s="64"/>
      <c r="AN103" s="65"/>
      <c r="AO103" s="43" t="str">
        <f t="shared" si="20"/>
        <v/>
      </c>
      <c r="AP103" s="105"/>
      <c r="AQ103" s="105"/>
      <c r="AR103" s="105"/>
      <c r="AS103" s="103"/>
      <c r="AT103" s="107"/>
      <c r="AU103" s="105"/>
      <c r="AV103" s="105"/>
      <c r="AW103" s="105"/>
      <c r="AX103" s="105"/>
      <c r="AY103" s="105"/>
    </row>
    <row r="104" ht="21.75" customHeight="1" outlineLevel="1">
      <c r="A104" s="183">
        <f t="shared" si="14"/>
        <v>103</v>
      </c>
      <c r="B104" s="178" t="s">
        <v>45</v>
      </c>
      <c r="C104" s="185">
        <v>3765135.0</v>
      </c>
      <c r="D104" s="186" t="s">
        <v>188</v>
      </c>
      <c r="E104" s="178" t="s">
        <v>433</v>
      </c>
      <c r="F104" s="178"/>
      <c r="G104" s="178" t="s">
        <v>146</v>
      </c>
      <c r="H104" s="178" t="s">
        <v>407</v>
      </c>
      <c r="I104" s="178" t="s">
        <v>408</v>
      </c>
      <c r="J104" s="178" t="s">
        <v>193</v>
      </c>
      <c r="K104" s="180">
        <v>46129.0</v>
      </c>
      <c r="L104" s="180">
        <v>46129.0</v>
      </c>
      <c r="M104" s="178">
        <v>3.0</v>
      </c>
      <c r="N104" s="30"/>
      <c r="O104" s="30" t="str">
        <f t="shared" si="16"/>
        <v/>
      </c>
      <c r="P104" s="30"/>
      <c r="Q104" s="30" t="str">
        <f t="shared" si="19"/>
        <v/>
      </c>
      <c r="R104" s="30"/>
      <c r="S104" s="30" t="str">
        <f t="shared" si="3"/>
        <v/>
      </c>
      <c r="T104" s="33"/>
      <c r="U104" s="30"/>
      <c r="V104" s="181" t="str">
        <f t="shared" si="4"/>
        <v/>
      </c>
      <c r="W104" s="181" t="str">
        <f t="shared" si="21"/>
        <v/>
      </c>
      <c r="X104" s="30" t="s">
        <v>597</v>
      </c>
      <c r="Y104" s="30" t="s">
        <v>598</v>
      </c>
      <c r="Z104" s="30"/>
      <c r="AA104" s="30"/>
      <c r="AB104" s="37">
        <f>IFERROR(VLOOKUP(B104,'Scheme Master'!$B$4:$C$79,2,FALSE),"")</f>
        <v>360</v>
      </c>
      <c r="AC104" s="38" t="str">
        <f t="shared" si="22"/>
        <v/>
      </c>
      <c r="AD104" s="108"/>
      <c r="AE104" s="108"/>
      <c r="AF104" s="40" t="str">
        <f t="shared" si="7"/>
        <v/>
      </c>
      <c r="AG104" s="41" t="str">
        <f t="shared" si="8"/>
        <v/>
      </c>
      <c r="AH104" s="42" t="str">
        <f t="shared" si="9"/>
        <v/>
      </c>
      <c r="AI104" s="43" t="str">
        <f t="shared" si="10"/>
        <v/>
      </c>
      <c r="AJ104" s="44"/>
      <c r="AK104" s="28" t="s">
        <v>155</v>
      </c>
      <c r="AL104" s="45" t="s">
        <v>156</v>
      </c>
      <c r="AM104" s="53"/>
      <c r="AN104" s="54"/>
      <c r="AO104" s="43" t="str">
        <f t="shared" si="20"/>
        <v/>
      </c>
      <c r="AP104" s="109"/>
      <c r="AQ104" s="109"/>
      <c r="AR104" s="109"/>
      <c r="AS104" s="108"/>
      <c r="AT104" s="111"/>
      <c r="AU104" s="109"/>
      <c r="AV104" s="109"/>
      <c r="AW104" s="109"/>
      <c r="AX104" s="109"/>
      <c r="AY104" s="109"/>
    </row>
    <row r="105" ht="21.75" customHeight="1" outlineLevel="1">
      <c r="A105" s="183">
        <f t="shared" si="14"/>
        <v>104</v>
      </c>
      <c r="B105" s="178" t="s">
        <v>17</v>
      </c>
      <c r="C105" s="178">
        <v>3716778.0</v>
      </c>
      <c r="D105" s="187" t="s">
        <v>161</v>
      </c>
      <c r="E105" s="178" t="s">
        <v>178</v>
      </c>
      <c r="F105" s="178"/>
      <c r="G105" s="178" t="s">
        <v>300</v>
      </c>
      <c r="H105" s="178" t="s">
        <v>599</v>
      </c>
      <c r="I105" s="178" t="s">
        <v>600</v>
      </c>
      <c r="J105" s="178" t="s">
        <v>182</v>
      </c>
      <c r="K105" s="180">
        <v>46129.0</v>
      </c>
      <c r="L105" s="180">
        <v>46130.0</v>
      </c>
      <c r="M105" s="188">
        <v>30.0</v>
      </c>
      <c r="N105" s="189"/>
      <c r="O105" s="190" t="str">
        <f t="shared" si="16"/>
        <v/>
      </c>
      <c r="P105" s="189"/>
      <c r="Q105" s="190" t="str">
        <f t="shared" si="19"/>
        <v/>
      </c>
      <c r="R105" s="189"/>
      <c r="S105" s="190" t="str">
        <f t="shared" si="3"/>
        <v/>
      </c>
      <c r="T105" s="191"/>
      <c r="U105" s="105"/>
      <c r="V105" s="176" t="str">
        <f t="shared" si="4"/>
        <v/>
      </c>
      <c r="W105" s="176" t="str">
        <f t="shared" si="21"/>
        <v/>
      </c>
      <c r="X105" s="105"/>
      <c r="Y105" s="105"/>
      <c r="Z105" s="105"/>
      <c r="AA105" s="105"/>
      <c r="AB105" s="37">
        <f>IFERROR(VLOOKUP(B105,'Scheme Master'!$B$4:$C$79,2,FALSE),"")</f>
        <v>540</v>
      </c>
      <c r="AC105" s="38" t="str">
        <f t="shared" si="22"/>
        <v/>
      </c>
      <c r="AD105" s="103"/>
      <c r="AE105" s="103"/>
      <c r="AF105" s="40" t="str">
        <f t="shared" si="7"/>
        <v/>
      </c>
      <c r="AG105" s="41" t="str">
        <f t="shared" si="8"/>
        <v/>
      </c>
      <c r="AH105" s="42" t="str">
        <f t="shared" si="9"/>
        <v/>
      </c>
      <c r="AI105" s="43" t="str">
        <f t="shared" si="10"/>
        <v/>
      </c>
      <c r="AJ105" s="44"/>
      <c r="AK105" s="104"/>
      <c r="AL105" s="65"/>
      <c r="AM105" s="64"/>
      <c r="AN105" s="65"/>
      <c r="AO105" s="43" t="str">
        <f t="shared" si="20"/>
        <v/>
      </c>
      <c r="AP105" s="105"/>
      <c r="AQ105" s="105"/>
      <c r="AR105" s="105"/>
      <c r="AS105" s="103"/>
      <c r="AT105" s="107"/>
      <c r="AU105" s="105"/>
      <c r="AV105" s="105"/>
      <c r="AW105" s="105"/>
      <c r="AX105" s="105"/>
      <c r="AY105" s="105"/>
    </row>
    <row r="106" ht="21.75" customHeight="1" outlineLevel="1">
      <c r="A106" s="183">
        <f t="shared" si="14"/>
        <v>105</v>
      </c>
      <c r="B106" s="178" t="s">
        <v>14</v>
      </c>
      <c r="C106" s="178">
        <v>3585637.0</v>
      </c>
      <c r="D106" s="179" t="s">
        <v>161</v>
      </c>
      <c r="E106" s="178" t="s">
        <v>178</v>
      </c>
      <c r="F106" s="178"/>
      <c r="G106" s="178" t="s">
        <v>300</v>
      </c>
      <c r="H106" s="178" t="s">
        <v>416</v>
      </c>
      <c r="I106" s="178" t="s">
        <v>601</v>
      </c>
      <c r="J106" s="178" t="s">
        <v>418</v>
      </c>
      <c r="K106" s="180">
        <v>46130.0</v>
      </c>
      <c r="L106" s="180">
        <v>46130.0</v>
      </c>
      <c r="M106" s="178">
        <v>30.0</v>
      </c>
      <c r="N106" s="178"/>
      <c r="O106" s="178" t="str">
        <f t="shared" si="16"/>
        <v/>
      </c>
      <c r="P106" s="178"/>
      <c r="Q106" s="178" t="str">
        <f t="shared" si="19"/>
        <v/>
      </c>
      <c r="R106" s="178"/>
      <c r="S106" s="178" t="str">
        <f t="shared" si="3"/>
        <v/>
      </c>
      <c r="T106" s="180"/>
      <c r="U106" s="178"/>
      <c r="V106" s="192" t="str">
        <f t="shared" si="4"/>
        <v/>
      </c>
      <c r="W106" s="192" t="str">
        <f t="shared" si="21"/>
        <v/>
      </c>
      <c r="X106" s="178" t="s">
        <v>602</v>
      </c>
      <c r="Y106" s="178"/>
      <c r="Z106" s="178"/>
      <c r="AA106" s="109"/>
      <c r="AB106" s="37">
        <f>IFERROR(VLOOKUP(B106,'Scheme Master'!$B$4:$C$79,2,FALSE),"")</f>
        <v>720</v>
      </c>
      <c r="AC106" s="38" t="str">
        <f t="shared" si="22"/>
        <v/>
      </c>
      <c r="AD106" s="108"/>
      <c r="AE106" s="108"/>
      <c r="AF106" s="40" t="str">
        <f t="shared" si="7"/>
        <v/>
      </c>
      <c r="AG106" s="41" t="str">
        <f t="shared" si="8"/>
        <v/>
      </c>
      <c r="AH106" s="42" t="str">
        <f t="shared" si="9"/>
        <v/>
      </c>
      <c r="AI106" s="43" t="str">
        <f t="shared" si="10"/>
        <v/>
      </c>
      <c r="AJ106" s="44"/>
      <c r="AK106" s="71"/>
      <c r="AL106" s="54"/>
      <c r="AM106" s="53"/>
      <c r="AN106" s="54"/>
      <c r="AO106" s="43" t="str">
        <f t="shared" si="20"/>
        <v/>
      </c>
      <c r="AP106" s="109"/>
      <c r="AQ106" s="109"/>
      <c r="AR106" s="109"/>
      <c r="AS106" s="108"/>
      <c r="AT106" s="111"/>
      <c r="AU106" s="109"/>
      <c r="AV106" s="109"/>
      <c r="AW106" s="109"/>
      <c r="AX106" s="109"/>
      <c r="AY106" s="109"/>
    </row>
    <row r="107" ht="21.75" customHeight="1" outlineLevel="1">
      <c r="A107" s="183">
        <f t="shared" si="14"/>
        <v>106</v>
      </c>
      <c r="B107" s="178" t="s">
        <v>14</v>
      </c>
      <c r="C107" s="178">
        <v>3584650.0</v>
      </c>
      <c r="D107" s="179" t="s">
        <v>161</v>
      </c>
      <c r="E107" s="178" t="s">
        <v>178</v>
      </c>
      <c r="F107" s="178"/>
      <c r="G107" s="178" t="s">
        <v>300</v>
      </c>
      <c r="H107" s="178" t="s">
        <v>301</v>
      </c>
      <c r="I107" s="178" t="s">
        <v>546</v>
      </c>
      <c r="J107" s="178" t="s">
        <v>303</v>
      </c>
      <c r="K107" s="180">
        <v>46130.0</v>
      </c>
      <c r="L107" s="180">
        <v>46130.0</v>
      </c>
      <c r="M107" s="178">
        <v>30.0</v>
      </c>
      <c r="N107" s="178"/>
      <c r="O107" s="178" t="str">
        <f t="shared" si="16"/>
        <v/>
      </c>
      <c r="P107" s="178"/>
      <c r="Q107" s="178" t="str">
        <f t="shared" si="19"/>
        <v/>
      </c>
      <c r="R107" s="178"/>
      <c r="S107" s="178" t="str">
        <f t="shared" si="3"/>
        <v/>
      </c>
      <c r="T107" s="180"/>
      <c r="U107" s="178"/>
      <c r="V107" s="192" t="str">
        <f t="shared" si="4"/>
        <v/>
      </c>
      <c r="W107" s="192" t="str">
        <f t="shared" si="21"/>
        <v/>
      </c>
      <c r="X107" s="178" t="s">
        <v>479</v>
      </c>
      <c r="Y107" s="178" t="s">
        <v>480</v>
      </c>
      <c r="Z107" s="178"/>
      <c r="AA107" s="105"/>
      <c r="AB107" s="37">
        <f>IFERROR(VLOOKUP(B107,'Scheme Master'!$B$4:$C$79,2,FALSE),"")</f>
        <v>720</v>
      </c>
      <c r="AC107" s="38" t="str">
        <f t="shared" si="22"/>
        <v/>
      </c>
      <c r="AD107" s="103"/>
      <c r="AE107" s="103"/>
      <c r="AF107" s="40" t="str">
        <f t="shared" si="7"/>
        <v/>
      </c>
      <c r="AG107" s="41" t="str">
        <f t="shared" si="8"/>
        <v/>
      </c>
      <c r="AH107" s="42" t="str">
        <f t="shared" si="9"/>
        <v/>
      </c>
      <c r="AI107" s="43" t="str">
        <f t="shared" si="10"/>
        <v/>
      </c>
      <c r="AJ107" s="44"/>
      <c r="AK107" s="104"/>
      <c r="AL107" s="65"/>
      <c r="AM107" s="64"/>
      <c r="AN107" s="65"/>
      <c r="AO107" s="43" t="str">
        <f t="shared" si="20"/>
        <v/>
      </c>
      <c r="AP107" s="105"/>
      <c r="AQ107" s="105"/>
      <c r="AR107" s="105"/>
      <c r="AS107" s="103"/>
      <c r="AT107" s="107"/>
      <c r="AU107" s="105"/>
      <c r="AV107" s="105"/>
      <c r="AW107" s="105"/>
      <c r="AX107" s="105"/>
      <c r="AY107" s="105"/>
    </row>
    <row r="108" ht="21.75" customHeight="1" outlineLevel="1">
      <c r="A108" s="183">
        <f t="shared" si="14"/>
        <v>107</v>
      </c>
      <c r="B108" s="178" t="s">
        <v>45</v>
      </c>
      <c r="C108" s="178">
        <v>3761831.0</v>
      </c>
      <c r="D108" s="179" t="s">
        <v>145</v>
      </c>
      <c r="E108" s="178" t="s">
        <v>433</v>
      </c>
      <c r="F108" s="178"/>
      <c r="G108" s="178" t="s">
        <v>146</v>
      </c>
      <c r="H108" s="178" t="s">
        <v>147</v>
      </c>
      <c r="I108" s="178" t="s">
        <v>438</v>
      </c>
      <c r="J108" s="178" t="s">
        <v>439</v>
      </c>
      <c r="K108" s="180">
        <v>46130.0</v>
      </c>
      <c r="L108" s="180">
        <v>46130.0</v>
      </c>
      <c r="M108" s="178">
        <v>45.0</v>
      </c>
      <c r="N108" s="178"/>
      <c r="O108" s="178" t="str">
        <f t="shared" si="16"/>
        <v/>
      </c>
      <c r="P108" s="178"/>
      <c r="Q108" s="178" t="str">
        <f t="shared" si="19"/>
        <v/>
      </c>
      <c r="R108" s="178"/>
      <c r="S108" s="178" t="str">
        <f t="shared" si="3"/>
        <v/>
      </c>
      <c r="T108" s="180"/>
      <c r="U108" s="178"/>
      <c r="V108" s="192" t="str">
        <f t="shared" si="4"/>
        <v/>
      </c>
      <c r="W108" s="192" t="str">
        <f t="shared" si="21"/>
        <v/>
      </c>
      <c r="X108" s="178"/>
      <c r="Y108" s="178"/>
      <c r="Z108" s="178"/>
      <c r="AA108" s="109"/>
      <c r="AB108" s="37">
        <f>IFERROR(VLOOKUP(B108,'Scheme Master'!$B$4:$C$79,2,FALSE),"")</f>
        <v>360</v>
      </c>
      <c r="AC108" s="38" t="str">
        <f t="shared" si="22"/>
        <v/>
      </c>
      <c r="AD108" s="108"/>
      <c r="AE108" s="108"/>
      <c r="AF108" s="40" t="str">
        <f t="shared" si="7"/>
        <v/>
      </c>
      <c r="AG108" s="41" t="str">
        <f t="shared" si="8"/>
        <v/>
      </c>
      <c r="AH108" s="42" t="str">
        <f t="shared" si="9"/>
        <v/>
      </c>
      <c r="AI108" s="43" t="str">
        <f t="shared" si="10"/>
        <v/>
      </c>
      <c r="AJ108" s="44"/>
      <c r="AK108" s="71"/>
      <c r="AL108" s="54"/>
      <c r="AM108" s="53"/>
      <c r="AN108" s="54"/>
      <c r="AO108" s="43" t="str">
        <f t="shared" si="20"/>
        <v/>
      </c>
      <c r="AP108" s="109"/>
      <c r="AQ108" s="109"/>
      <c r="AR108" s="109"/>
      <c r="AS108" s="108"/>
      <c r="AT108" s="111"/>
      <c r="AU108" s="109"/>
      <c r="AV108" s="109"/>
      <c r="AW108" s="109"/>
      <c r="AX108" s="109"/>
      <c r="AY108" s="109"/>
    </row>
    <row r="109" ht="21.75" customHeight="1" outlineLevel="1">
      <c r="A109" s="183">
        <f t="shared" si="14"/>
        <v>108</v>
      </c>
      <c r="B109" s="178" t="s">
        <v>45</v>
      </c>
      <c r="C109" s="178">
        <v>3765309.0</v>
      </c>
      <c r="D109" s="179" t="s">
        <v>145</v>
      </c>
      <c r="E109" s="178" t="s">
        <v>50</v>
      </c>
      <c r="F109" s="178"/>
      <c r="G109" s="178" t="s">
        <v>146</v>
      </c>
      <c r="H109" s="178" t="s">
        <v>331</v>
      </c>
      <c r="I109" s="178" t="s">
        <v>603</v>
      </c>
      <c r="J109" s="178" t="s">
        <v>285</v>
      </c>
      <c r="K109" s="180">
        <v>46130.0</v>
      </c>
      <c r="L109" s="180">
        <v>46130.0</v>
      </c>
      <c r="M109" s="178">
        <v>45.0</v>
      </c>
      <c r="N109" s="178"/>
      <c r="O109" s="178" t="str">
        <f t="shared" si="16"/>
        <v/>
      </c>
      <c r="P109" s="178"/>
      <c r="Q109" s="178" t="str">
        <f t="shared" si="19"/>
        <v/>
      </c>
      <c r="R109" s="178"/>
      <c r="S109" s="178" t="str">
        <f t="shared" si="3"/>
        <v/>
      </c>
      <c r="T109" s="180"/>
      <c r="U109" s="178"/>
      <c r="V109" s="192" t="str">
        <f t="shared" si="4"/>
        <v/>
      </c>
      <c r="W109" s="192" t="str">
        <f t="shared" si="21"/>
        <v/>
      </c>
      <c r="X109" s="178"/>
      <c r="Y109" s="178"/>
      <c r="Z109" s="178"/>
      <c r="AA109" s="105"/>
      <c r="AB109" s="37">
        <f>IFERROR(VLOOKUP(B109,'Scheme Master'!$B$4:$C$79,2,FALSE),"")</f>
        <v>360</v>
      </c>
      <c r="AC109" s="38" t="str">
        <f t="shared" si="22"/>
        <v/>
      </c>
      <c r="AD109" s="103"/>
      <c r="AE109" s="103"/>
      <c r="AF109" s="40" t="str">
        <f t="shared" si="7"/>
        <v/>
      </c>
      <c r="AG109" s="41" t="str">
        <f t="shared" si="8"/>
        <v/>
      </c>
      <c r="AH109" s="42" t="str">
        <f t="shared" si="9"/>
        <v/>
      </c>
      <c r="AI109" s="43" t="str">
        <f t="shared" si="10"/>
        <v/>
      </c>
      <c r="AJ109" s="44"/>
      <c r="AK109" s="104"/>
      <c r="AL109" s="65"/>
      <c r="AM109" s="64"/>
      <c r="AN109" s="65"/>
      <c r="AO109" s="43" t="str">
        <f t="shared" si="20"/>
        <v/>
      </c>
      <c r="AP109" s="105"/>
      <c r="AQ109" s="105"/>
      <c r="AR109" s="105"/>
      <c r="AS109" s="103"/>
      <c r="AT109" s="107"/>
      <c r="AU109" s="105"/>
      <c r="AV109" s="105"/>
      <c r="AW109" s="105"/>
      <c r="AX109" s="105"/>
      <c r="AY109" s="105"/>
    </row>
    <row r="110" ht="21.75" customHeight="1" outlineLevel="1">
      <c r="A110" s="183">
        <f t="shared" si="14"/>
        <v>109</v>
      </c>
      <c r="B110" s="178" t="s">
        <v>45</v>
      </c>
      <c r="C110" s="178">
        <v>3761688.0</v>
      </c>
      <c r="D110" s="179" t="s">
        <v>145</v>
      </c>
      <c r="E110" s="178" t="s">
        <v>178</v>
      </c>
      <c r="F110" s="178"/>
      <c r="G110" s="178" t="s">
        <v>179</v>
      </c>
      <c r="H110" s="178" t="s">
        <v>203</v>
      </c>
      <c r="I110" s="178" t="s">
        <v>604</v>
      </c>
      <c r="J110" s="178" t="s">
        <v>182</v>
      </c>
      <c r="K110" s="180">
        <v>46130.0</v>
      </c>
      <c r="L110" s="180">
        <v>46130.0</v>
      </c>
      <c r="M110" s="178">
        <v>12.0</v>
      </c>
      <c r="N110" s="178"/>
      <c r="O110" s="178" t="str">
        <f t="shared" si="16"/>
        <v/>
      </c>
      <c r="P110" s="178"/>
      <c r="Q110" s="178" t="str">
        <f t="shared" si="19"/>
        <v/>
      </c>
      <c r="R110" s="178"/>
      <c r="S110" s="178" t="str">
        <f t="shared" si="3"/>
        <v/>
      </c>
      <c r="T110" s="180"/>
      <c r="U110" s="178"/>
      <c r="V110" s="192" t="str">
        <f t="shared" si="4"/>
        <v/>
      </c>
      <c r="W110" s="192" t="str">
        <f t="shared" si="21"/>
        <v/>
      </c>
      <c r="X110" s="178" t="s">
        <v>605</v>
      </c>
      <c r="Y110" s="178" t="s">
        <v>606</v>
      </c>
      <c r="Z110" s="178"/>
      <c r="AA110" s="109"/>
      <c r="AB110" s="37">
        <f>IFERROR(VLOOKUP(B110,'Scheme Master'!$B$4:$C$79,2,FALSE),"")</f>
        <v>360</v>
      </c>
      <c r="AC110" s="38" t="str">
        <f t="shared" si="22"/>
        <v/>
      </c>
      <c r="AD110" s="108"/>
      <c r="AE110" s="108"/>
      <c r="AF110" s="40" t="str">
        <f t="shared" si="7"/>
        <v/>
      </c>
      <c r="AG110" s="41" t="str">
        <f t="shared" si="8"/>
        <v/>
      </c>
      <c r="AH110" s="42" t="str">
        <f t="shared" si="9"/>
        <v/>
      </c>
      <c r="AI110" s="43" t="str">
        <f t="shared" si="10"/>
        <v/>
      </c>
      <c r="AJ110" s="44"/>
      <c r="AK110" s="71"/>
      <c r="AL110" s="54"/>
      <c r="AM110" s="53"/>
      <c r="AN110" s="54"/>
      <c r="AO110" s="43" t="str">
        <f t="shared" si="20"/>
        <v/>
      </c>
      <c r="AP110" s="109"/>
      <c r="AQ110" s="109"/>
      <c r="AR110" s="109"/>
      <c r="AS110" s="108"/>
      <c r="AT110" s="111"/>
      <c r="AU110" s="109"/>
      <c r="AV110" s="109"/>
      <c r="AW110" s="109"/>
      <c r="AX110" s="109"/>
      <c r="AY110" s="109"/>
    </row>
    <row r="111" ht="21.75" customHeight="1" outlineLevel="1">
      <c r="A111" s="183">
        <f t="shared" si="14"/>
        <v>110</v>
      </c>
      <c r="B111" s="178"/>
      <c r="C111" s="178"/>
      <c r="D111" s="179"/>
      <c r="E111" s="178"/>
      <c r="F111" s="178"/>
      <c r="G111" s="178"/>
      <c r="H111" s="178"/>
      <c r="I111" s="178"/>
      <c r="J111" s="178"/>
      <c r="K111" s="180"/>
      <c r="L111" s="180"/>
      <c r="M111" s="178"/>
      <c r="N111" s="178"/>
      <c r="O111" s="178" t="str">
        <f t="shared" si="16"/>
        <v/>
      </c>
      <c r="P111" s="178"/>
      <c r="Q111" s="178" t="str">
        <f t="shared" si="19"/>
        <v/>
      </c>
      <c r="R111" s="178"/>
      <c r="S111" s="178" t="str">
        <f t="shared" si="3"/>
        <v/>
      </c>
      <c r="T111" s="180"/>
      <c r="U111" s="178"/>
      <c r="V111" s="192" t="str">
        <f t="shared" si="4"/>
        <v/>
      </c>
      <c r="W111" s="192" t="str">
        <f t="shared" si="21"/>
        <v/>
      </c>
      <c r="X111" s="178"/>
      <c r="Y111" s="178"/>
      <c r="Z111" s="178"/>
      <c r="AA111" s="105"/>
      <c r="AB111" s="37" t="str">
        <f>IFERROR(VLOOKUP(B111,'Scheme Master'!$B$4:$C$79,2,FALSE),"")</f>
        <v/>
      </c>
      <c r="AC111" s="38" t="str">
        <f t="shared" si="22"/>
        <v/>
      </c>
      <c r="AD111" s="103"/>
      <c r="AE111" s="103"/>
      <c r="AF111" s="40" t="str">
        <f t="shared" si="7"/>
        <v/>
      </c>
      <c r="AG111" s="41" t="str">
        <f t="shared" si="8"/>
        <v/>
      </c>
      <c r="AH111" s="42" t="str">
        <f t="shared" si="9"/>
        <v/>
      </c>
      <c r="AI111" s="43" t="str">
        <f t="shared" si="10"/>
        <v/>
      </c>
      <c r="AJ111" s="44" t="str">
        <f t="shared" ref="AJ111:AJ115" si="23">IF(AI111="","",IF(AF111&gt;AC111,"URGENT: Expenses exceed total income. Immediate review needed.",IF(AH111&gt;0.4,"Expenses exceed 40% of income. Management approval required.","Within budget. No approval needed.")))</f>
        <v/>
      </c>
      <c r="AK111" s="104"/>
      <c r="AL111" s="65"/>
      <c r="AM111" s="64"/>
      <c r="AN111" s="65"/>
      <c r="AO111" s="43" t="str">
        <f t="shared" si="20"/>
        <v/>
      </c>
      <c r="AP111" s="105"/>
      <c r="AQ111" s="105"/>
      <c r="AR111" s="105"/>
      <c r="AS111" s="103"/>
      <c r="AT111" s="107"/>
      <c r="AU111" s="105"/>
      <c r="AV111" s="105"/>
      <c r="AW111" s="105"/>
      <c r="AX111" s="105"/>
      <c r="AY111" s="105"/>
    </row>
    <row r="112" ht="21.75" customHeight="1" outlineLevel="1">
      <c r="A112" s="183">
        <f t="shared" si="14"/>
        <v>111</v>
      </c>
      <c r="B112" s="178"/>
      <c r="C112" s="178"/>
      <c r="D112" s="179"/>
      <c r="E112" s="178"/>
      <c r="F112" s="178"/>
      <c r="G112" s="178"/>
      <c r="H112" s="178"/>
      <c r="I112" s="178"/>
      <c r="J112" s="178"/>
      <c r="K112" s="180"/>
      <c r="L112" s="180"/>
      <c r="M112" s="178"/>
      <c r="N112" s="178"/>
      <c r="O112" s="178" t="str">
        <f t="shared" si="16"/>
        <v/>
      </c>
      <c r="P112" s="178"/>
      <c r="Q112" s="178" t="str">
        <f t="shared" si="19"/>
        <v/>
      </c>
      <c r="R112" s="178"/>
      <c r="S112" s="178" t="str">
        <f t="shared" si="3"/>
        <v/>
      </c>
      <c r="T112" s="180"/>
      <c r="U112" s="178"/>
      <c r="V112" s="192" t="str">
        <f t="shared" si="4"/>
        <v/>
      </c>
      <c r="W112" s="192" t="str">
        <f t="shared" ref="W112:W164" si="24">IFERROR(S112/N112*100,"")</f>
        <v/>
      </c>
      <c r="X112" s="178"/>
      <c r="Y112" s="178"/>
      <c r="Z112" s="178"/>
      <c r="AA112" s="109"/>
      <c r="AB112" s="37" t="str">
        <f>IFERROR(VLOOKUP(B112,'Scheme Master'!$B$4:$C$79,2,FALSE),"")</f>
        <v/>
      </c>
      <c r="AC112" s="38" t="str">
        <f t="shared" si="22"/>
        <v/>
      </c>
      <c r="AD112" s="108"/>
      <c r="AE112" s="108"/>
      <c r="AF112" s="40" t="str">
        <f t="shared" si="7"/>
        <v/>
      </c>
      <c r="AG112" s="41" t="str">
        <f t="shared" si="8"/>
        <v/>
      </c>
      <c r="AH112" s="42" t="str">
        <f t="shared" si="9"/>
        <v/>
      </c>
      <c r="AI112" s="43" t="str">
        <f t="shared" si="10"/>
        <v/>
      </c>
      <c r="AJ112" s="44" t="str">
        <f t="shared" si="23"/>
        <v/>
      </c>
      <c r="AK112" s="71"/>
      <c r="AL112" s="54"/>
      <c r="AM112" s="53"/>
      <c r="AN112" s="54"/>
      <c r="AO112" s="43" t="str">
        <f t="shared" si="20"/>
        <v/>
      </c>
      <c r="AP112" s="109"/>
      <c r="AQ112" s="109"/>
      <c r="AR112" s="109"/>
      <c r="AS112" s="108"/>
      <c r="AT112" s="111"/>
      <c r="AU112" s="109"/>
      <c r="AV112" s="109"/>
      <c r="AW112" s="109"/>
      <c r="AX112" s="109"/>
      <c r="AY112" s="109"/>
    </row>
    <row r="113" ht="21.75" customHeight="1" outlineLevel="1">
      <c r="A113" s="183">
        <f t="shared" si="14"/>
        <v>112</v>
      </c>
      <c r="B113" s="193"/>
      <c r="C113" s="105"/>
      <c r="D113" s="194"/>
      <c r="E113" s="105"/>
      <c r="F113" s="105"/>
      <c r="G113" s="105"/>
      <c r="H113" s="195"/>
      <c r="I113" s="105"/>
      <c r="J113" s="105"/>
      <c r="K113" s="191"/>
      <c r="L113" s="191"/>
      <c r="M113" s="189"/>
      <c r="N113" s="189"/>
      <c r="O113" s="190" t="str">
        <f t="shared" si="16"/>
        <v/>
      </c>
      <c r="P113" s="189"/>
      <c r="Q113" s="190" t="str">
        <f t="shared" si="19"/>
        <v/>
      </c>
      <c r="R113" s="189"/>
      <c r="S113" s="190" t="str">
        <f t="shared" si="3"/>
        <v/>
      </c>
      <c r="T113" s="191"/>
      <c r="U113" s="105"/>
      <c r="V113" s="196" t="str">
        <f t="shared" si="4"/>
        <v/>
      </c>
      <c r="W113" s="197" t="str">
        <f t="shared" si="24"/>
        <v/>
      </c>
      <c r="X113" s="105"/>
      <c r="Y113" s="105"/>
      <c r="Z113" s="105"/>
      <c r="AA113" s="105"/>
      <c r="AB113" s="37" t="str">
        <f>IFERROR(VLOOKUP(B113,'Scheme Master'!$B$4:$C$79,2,FALSE),"")</f>
        <v/>
      </c>
      <c r="AC113" s="38" t="str">
        <f t="shared" si="22"/>
        <v/>
      </c>
      <c r="AD113" s="103"/>
      <c r="AE113" s="103"/>
      <c r="AF113" s="40" t="str">
        <f t="shared" si="7"/>
        <v/>
      </c>
      <c r="AG113" s="41" t="str">
        <f t="shared" si="8"/>
        <v/>
      </c>
      <c r="AH113" s="42" t="str">
        <f t="shared" si="9"/>
        <v/>
      </c>
      <c r="AI113" s="43" t="str">
        <f t="shared" si="10"/>
        <v/>
      </c>
      <c r="AJ113" s="44" t="str">
        <f t="shared" si="23"/>
        <v/>
      </c>
      <c r="AK113" s="104"/>
      <c r="AL113" s="65"/>
      <c r="AM113" s="64"/>
      <c r="AN113" s="65"/>
      <c r="AO113" s="43" t="str">
        <f t="shared" si="20"/>
        <v/>
      </c>
      <c r="AP113" s="105"/>
      <c r="AQ113" s="105"/>
      <c r="AR113" s="105"/>
      <c r="AS113" s="103"/>
      <c r="AT113" s="107"/>
      <c r="AU113" s="105"/>
      <c r="AV113" s="105"/>
      <c r="AW113" s="105"/>
      <c r="AX113" s="105"/>
      <c r="AY113" s="105"/>
    </row>
    <row r="114" ht="21.75" customHeight="1" outlineLevel="1">
      <c r="A114" s="183">
        <f t="shared" si="14"/>
        <v>113</v>
      </c>
      <c r="B114" s="198"/>
      <c r="C114" s="109"/>
      <c r="D114" s="199"/>
      <c r="E114" s="109"/>
      <c r="F114" s="109"/>
      <c r="G114" s="109"/>
      <c r="H114" s="200"/>
      <c r="I114" s="109"/>
      <c r="J114" s="109"/>
      <c r="K114" s="201"/>
      <c r="L114" s="202"/>
      <c r="M114" s="203"/>
      <c r="N114" s="203"/>
      <c r="O114" s="190" t="str">
        <f t="shared" si="16"/>
        <v/>
      </c>
      <c r="P114" s="203"/>
      <c r="Q114" s="190" t="str">
        <f t="shared" si="19"/>
        <v/>
      </c>
      <c r="R114" s="203"/>
      <c r="S114" s="190" t="str">
        <f t="shared" si="3"/>
        <v/>
      </c>
      <c r="T114" s="202"/>
      <c r="U114" s="109"/>
      <c r="V114" s="204" t="str">
        <f t="shared" si="4"/>
        <v/>
      </c>
      <c r="W114" s="205" t="str">
        <f t="shared" si="24"/>
        <v/>
      </c>
      <c r="X114" s="109"/>
      <c r="Y114" s="109"/>
      <c r="Z114" s="109"/>
      <c r="AA114" s="109"/>
      <c r="AB114" s="37" t="str">
        <f>IFERROR(VLOOKUP(B114,'Scheme Master'!$B$4:$C$79,2,FALSE),"")</f>
        <v/>
      </c>
      <c r="AC114" s="38" t="str">
        <f t="shared" si="22"/>
        <v/>
      </c>
      <c r="AD114" s="108"/>
      <c r="AE114" s="108"/>
      <c r="AF114" s="40" t="str">
        <f t="shared" si="7"/>
        <v/>
      </c>
      <c r="AG114" s="41" t="str">
        <f t="shared" si="8"/>
        <v/>
      </c>
      <c r="AH114" s="42" t="str">
        <f t="shared" si="9"/>
        <v/>
      </c>
      <c r="AI114" s="43" t="str">
        <f t="shared" si="10"/>
        <v/>
      </c>
      <c r="AJ114" s="44" t="str">
        <f t="shared" si="23"/>
        <v/>
      </c>
      <c r="AK114" s="71"/>
      <c r="AL114" s="54"/>
      <c r="AM114" s="53"/>
      <c r="AN114" s="54"/>
      <c r="AO114" s="43" t="str">
        <f t="shared" si="20"/>
        <v/>
      </c>
      <c r="AP114" s="109"/>
      <c r="AQ114" s="109"/>
      <c r="AR114" s="109"/>
      <c r="AS114" s="108"/>
      <c r="AT114" s="111"/>
      <c r="AU114" s="109"/>
      <c r="AV114" s="109"/>
      <c r="AW114" s="109"/>
      <c r="AX114" s="109"/>
      <c r="AY114" s="109"/>
    </row>
    <row r="115" ht="21.75" customHeight="1" outlineLevel="1">
      <c r="A115" s="120">
        <f t="shared" si="14"/>
        <v>114</v>
      </c>
      <c r="B115" s="206"/>
      <c r="C115" s="207"/>
      <c r="D115" s="208"/>
      <c r="E115" s="207"/>
      <c r="F115" s="207"/>
      <c r="G115" s="207"/>
      <c r="H115" s="209"/>
      <c r="I115" s="207"/>
      <c r="J115" s="207"/>
      <c r="K115" s="210"/>
      <c r="L115" s="211"/>
      <c r="M115" s="212"/>
      <c r="N115" s="212"/>
      <c r="O115" s="213" t="str">
        <f t="shared" si="16"/>
        <v/>
      </c>
      <c r="P115" s="214"/>
      <c r="Q115" s="213" t="str">
        <f t="shared" si="19"/>
        <v/>
      </c>
      <c r="R115" s="212"/>
      <c r="S115" s="213" t="str">
        <f t="shared" si="3"/>
        <v/>
      </c>
      <c r="T115" s="211"/>
      <c r="U115" s="207"/>
      <c r="V115" s="215" t="str">
        <f t="shared" si="4"/>
        <v/>
      </c>
      <c r="W115" s="205" t="str">
        <f t="shared" si="24"/>
        <v/>
      </c>
      <c r="X115" s="207"/>
      <c r="Y115" s="207"/>
      <c r="Z115" s="216"/>
      <c r="AA115" s="217"/>
      <c r="AB115" s="37" t="str">
        <f>IFERROR(VLOOKUP(B115,'Scheme Master'!$B$4:$C$79,2,FALSE),"")</f>
        <v/>
      </c>
      <c r="AC115" s="218" t="str">
        <f t="shared" si="22"/>
        <v/>
      </c>
      <c r="AD115" s="219"/>
      <c r="AE115" s="219"/>
      <c r="AF115" s="220" t="str">
        <f t="shared" si="7"/>
        <v/>
      </c>
      <c r="AG115" s="221" t="str">
        <f t="shared" si="8"/>
        <v/>
      </c>
      <c r="AH115" s="222" t="str">
        <f t="shared" si="9"/>
        <v/>
      </c>
      <c r="AI115" s="223" t="str">
        <f t="shared" si="10"/>
        <v/>
      </c>
      <c r="AJ115" s="224" t="str">
        <f t="shared" si="23"/>
        <v/>
      </c>
      <c r="AK115" s="225"/>
      <c r="AL115" s="226"/>
      <c r="AM115" s="227"/>
      <c r="AN115" s="228"/>
      <c r="AO115" s="229" t="str">
        <f t="shared" si="20"/>
        <v/>
      </c>
      <c r="AP115" s="230"/>
      <c r="AQ115" s="230"/>
      <c r="AR115" s="230"/>
      <c r="AS115" s="231"/>
      <c r="AT115" s="232"/>
      <c r="AU115" s="230"/>
      <c r="AV115" s="230"/>
      <c r="AW115" s="230"/>
      <c r="AX115" s="230"/>
      <c r="AY115" s="230"/>
    </row>
    <row r="116" ht="14.25" customHeight="1">
      <c r="A116" s="120">
        <f t="shared" si="14"/>
        <v>115</v>
      </c>
      <c r="B116" s="233"/>
      <c r="D116" s="234"/>
      <c r="H116" s="235"/>
      <c r="K116" s="236"/>
      <c r="L116" s="237"/>
      <c r="M116" s="233"/>
      <c r="N116" s="233"/>
      <c r="O116" s="233"/>
      <c r="P116" s="233"/>
      <c r="Q116" s="233"/>
      <c r="R116" s="233"/>
      <c r="S116" s="233"/>
      <c r="T116" s="237"/>
      <c r="U116" s="233"/>
      <c r="V116" s="238"/>
      <c r="W116" s="205" t="str">
        <f t="shared" si="24"/>
        <v/>
      </c>
      <c r="AB116" s="37" t="str">
        <f>IFERROR(VLOOKUP(B116,'Scheme Master'!$B$4:$C$79,2,FALSE),"")</f>
        <v/>
      </c>
      <c r="AK116" s="239"/>
      <c r="AL116" s="240"/>
      <c r="AM116" s="241"/>
      <c r="AN116" s="240"/>
    </row>
    <row r="117" ht="14.25" customHeight="1">
      <c r="B117" s="233"/>
      <c r="D117" s="234"/>
      <c r="H117" s="235"/>
      <c r="K117" s="236"/>
      <c r="L117" s="237"/>
      <c r="M117" s="233"/>
      <c r="N117" s="233"/>
      <c r="O117" s="233"/>
      <c r="P117" s="233"/>
      <c r="Q117" s="233"/>
      <c r="R117" s="233"/>
      <c r="S117" s="233"/>
      <c r="T117" s="237"/>
      <c r="U117" s="233"/>
      <c r="V117" s="238"/>
      <c r="W117" s="205" t="str">
        <f t="shared" si="24"/>
        <v/>
      </c>
      <c r="AB117" s="37" t="str">
        <f>IFERROR(VLOOKUP(B117,'Scheme Master'!$B$4:$C$79,2,FALSE),"")</f>
        <v/>
      </c>
      <c r="AK117" s="239"/>
      <c r="AL117" s="240"/>
      <c r="AM117" s="241"/>
      <c r="AN117" s="240"/>
    </row>
    <row r="118" ht="14.25" customHeight="1">
      <c r="B118" s="233"/>
      <c r="D118" s="234"/>
      <c r="H118" s="235"/>
      <c r="K118" s="236"/>
      <c r="L118" s="237"/>
      <c r="M118" s="233"/>
      <c r="N118" s="233"/>
      <c r="O118" s="233"/>
      <c r="P118" s="233"/>
      <c r="Q118" s="233"/>
      <c r="R118" s="233"/>
      <c r="S118" s="233"/>
      <c r="T118" s="237"/>
      <c r="U118" s="233"/>
      <c r="V118" s="238"/>
      <c r="W118" s="205" t="str">
        <f t="shared" si="24"/>
        <v/>
      </c>
      <c r="AB118" s="37" t="str">
        <f>IFERROR(VLOOKUP(B118,'Scheme Master'!$B$4:$C$79,2,FALSE),"")</f>
        <v/>
      </c>
      <c r="AK118" s="239"/>
      <c r="AL118" s="240"/>
      <c r="AM118" s="241"/>
      <c r="AN118" s="240"/>
    </row>
    <row r="119" ht="14.25" customHeight="1">
      <c r="B119" s="233"/>
      <c r="D119" s="234"/>
      <c r="H119" s="235"/>
      <c r="K119" s="236"/>
      <c r="L119" s="237"/>
      <c r="M119" s="233"/>
      <c r="N119" s="233"/>
      <c r="O119" s="233"/>
      <c r="P119" s="233"/>
      <c r="Q119" s="233"/>
      <c r="R119" s="233"/>
      <c r="S119" s="233"/>
      <c r="T119" s="237"/>
      <c r="U119" s="233"/>
      <c r="V119" s="238"/>
      <c r="W119" s="205" t="str">
        <f t="shared" si="24"/>
        <v/>
      </c>
      <c r="AB119" s="37" t="str">
        <f>IFERROR(VLOOKUP(B119,'Scheme Master'!$B$4:$C$79,2,FALSE),"")</f>
        <v/>
      </c>
      <c r="AK119" s="239"/>
      <c r="AL119" s="240"/>
      <c r="AM119" s="241"/>
      <c r="AN119" s="240"/>
    </row>
    <row r="120" ht="14.25" customHeight="1">
      <c r="B120" s="233"/>
      <c r="D120" s="234"/>
      <c r="H120" s="235"/>
      <c r="K120" s="236"/>
      <c r="L120" s="237"/>
      <c r="M120" s="233"/>
      <c r="N120" s="233"/>
      <c r="O120" s="233"/>
      <c r="P120" s="233"/>
      <c r="Q120" s="233"/>
      <c r="R120" s="233"/>
      <c r="S120" s="233"/>
      <c r="T120" s="237"/>
      <c r="U120" s="233"/>
      <c r="V120" s="238"/>
      <c r="W120" s="205" t="str">
        <f t="shared" si="24"/>
        <v/>
      </c>
      <c r="AB120" s="37" t="str">
        <f>IFERROR(VLOOKUP(B120,'Scheme Master'!$B$4:$C$79,2,FALSE),"")</f>
        <v/>
      </c>
      <c r="AK120" s="239"/>
      <c r="AL120" s="240"/>
      <c r="AM120" s="241"/>
      <c r="AN120" s="240"/>
    </row>
    <row r="121" ht="14.25" customHeight="1">
      <c r="B121" s="233"/>
      <c r="D121" s="234"/>
      <c r="H121" s="235"/>
      <c r="K121" s="236"/>
      <c r="L121" s="237"/>
      <c r="M121" s="233"/>
      <c r="N121" s="233"/>
      <c r="O121" s="233"/>
      <c r="P121" s="233"/>
      <c r="Q121" s="233"/>
      <c r="R121" s="233"/>
      <c r="S121" s="233"/>
      <c r="T121" s="237"/>
      <c r="U121" s="233"/>
      <c r="V121" s="238"/>
      <c r="W121" s="205" t="str">
        <f t="shared" si="24"/>
        <v/>
      </c>
      <c r="AB121" s="37" t="str">
        <f>IFERROR(VLOOKUP(B121,'Scheme Master'!$B$4:$C$79,2,FALSE),"")</f>
        <v/>
      </c>
      <c r="AK121" s="239"/>
      <c r="AL121" s="240"/>
      <c r="AM121" s="241"/>
      <c r="AN121" s="240"/>
    </row>
    <row r="122" ht="14.25" customHeight="1">
      <c r="B122" s="233"/>
      <c r="D122" s="234"/>
      <c r="H122" s="235"/>
      <c r="K122" s="236"/>
      <c r="L122" s="237"/>
      <c r="M122" s="233"/>
      <c r="N122" s="233"/>
      <c r="O122" s="233"/>
      <c r="P122" s="233"/>
      <c r="Q122" s="233"/>
      <c r="R122" s="233"/>
      <c r="S122" s="233"/>
      <c r="T122" s="237"/>
      <c r="U122" s="233"/>
      <c r="V122" s="238"/>
      <c r="W122" s="205" t="str">
        <f t="shared" si="24"/>
        <v/>
      </c>
      <c r="AB122" s="37" t="str">
        <f>IFERROR(VLOOKUP(B122,'Scheme Master'!$B$4:$C$79,2,FALSE),"")</f>
        <v/>
      </c>
      <c r="AK122" s="239"/>
      <c r="AL122" s="240"/>
      <c r="AM122" s="241"/>
      <c r="AN122" s="240"/>
    </row>
    <row r="123" ht="14.25" customHeight="1">
      <c r="B123" s="233"/>
      <c r="D123" s="234"/>
      <c r="H123" s="235"/>
      <c r="K123" s="236"/>
      <c r="L123" s="237"/>
      <c r="M123" s="233"/>
      <c r="N123" s="233"/>
      <c r="O123" s="233"/>
      <c r="P123" s="233"/>
      <c r="Q123" s="233"/>
      <c r="R123" s="233"/>
      <c r="S123" s="233"/>
      <c r="T123" s="237"/>
      <c r="U123" s="233"/>
      <c r="V123" s="238"/>
      <c r="W123" s="205" t="str">
        <f t="shared" si="24"/>
        <v/>
      </c>
      <c r="AB123" s="37" t="str">
        <f>IFERROR(VLOOKUP(B123,'Scheme Master'!$B$4:$C$79,2,FALSE),"")</f>
        <v/>
      </c>
      <c r="AK123" s="239"/>
      <c r="AL123" s="240"/>
      <c r="AM123" s="241"/>
      <c r="AN123" s="240"/>
    </row>
    <row r="124" ht="14.25" customHeight="1">
      <c r="B124" s="233"/>
      <c r="D124" s="234"/>
      <c r="H124" s="235"/>
      <c r="K124" s="236"/>
      <c r="L124" s="237"/>
      <c r="M124" s="233"/>
      <c r="N124" s="233"/>
      <c r="O124" s="233"/>
      <c r="P124" s="233"/>
      <c r="Q124" s="233"/>
      <c r="R124" s="233"/>
      <c r="S124" s="233"/>
      <c r="T124" s="237"/>
      <c r="U124" s="233"/>
      <c r="V124" s="238"/>
      <c r="W124" s="205" t="str">
        <f t="shared" si="24"/>
        <v/>
      </c>
      <c r="AB124" s="37" t="str">
        <f>IFERROR(VLOOKUP(B124,'Scheme Master'!$B$4:$C$79,2,FALSE),"")</f>
        <v/>
      </c>
      <c r="AK124" s="239"/>
      <c r="AL124" s="240"/>
      <c r="AM124" s="241"/>
      <c r="AN124" s="240"/>
    </row>
    <row r="125" ht="14.25" customHeight="1">
      <c r="B125" s="233"/>
      <c r="D125" s="234"/>
      <c r="H125" s="235"/>
      <c r="K125" s="236"/>
      <c r="L125" s="237"/>
      <c r="M125" s="233"/>
      <c r="N125" s="233"/>
      <c r="O125" s="233"/>
      <c r="P125" s="233"/>
      <c r="Q125" s="233"/>
      <c r="R125" s="233"/>
      <c r="S125" s="233"/>
      <c r="T125" s="237"/>
      <c r="U125" s="233"/>
      <c r="V125" s="238"/>
      <c r="W125" s="205" t="str">
        <f t="shared" si="24"/>
        <v/>
      </c>
      <c r="AB125" s="37" t="str">
        <f>IFERROR(VLOOKUP(B125,'Scheme Master'!$B$4:$C$79,2,FALSE),"")</f>
        <v/>
      </c>
      <c r="AK125" s="239"/>
      <c r="AL125" s="240"/>
      <c r="AM125" s="241"/>
      <c r="AN125" s="240"/>
    </row>
    <row r="126" ht="14.25" customHeight="1">
      <c r="B126" s="233"/>
      <c r="D126" s="234"/>
      <c r="H126" s="235"/>
      <c r="K126" s="236"/>
      <c r="L126" s="237"/>
      <c r="M126" s="233"/>
      <c r="N126" s="233"/>
      <c r="O126" s="233"/>
      <c r="P126" s="233"/>
      <c r="Q126" s="233"/>
      <c r="R126" s="233"/>
      <c r="S126" s="233"/>
      <c r="T126" s="237"/>
      <c r="U126" s="233"/>
      <c r="V126" s="238"/>
      <c r="W126" s="205" t="str">
        <f t="shared" si="24"/>
        <v/>
      </c>
      <c r="AB126" s="37" t="str">
        <f>IFERROR(VLOOKUP(B126,'Scheme Master'!$B$4:$C$79,2,FALSE),"")</f>
        <v/>
      </c>
      <c r="AK126" s="239"/>
      <c r="AL126" s="240"/>
      <c r="AM126" s="241"/>
      <c r="AN126" s="240"/>
    </row>
    <row r="127" ht="14.25" customHeight="1">
      <c r="B127" s="233"/>
      <c r="D127" s="234"/>
      <c r="H127" s="235"/>
      <c r="K127" s="236"/>
      <c r="L127" s="237"/>
      <c r="M127" s="233"/>
      <c r="N127" s="233"/>
      <c r="O127" s="233"/>
      <c r="P127" s="233"/>
      <c r="Q127" s="233"/>
      <c r="R127" s="233"/>
      <c r="S127" s="233"/>
      <c r="T127" s="237"/>
      <c r="U127" s="233"/>
      <c r="V127" s="238"/>
      <c r="W127" s="205" t="str">
        <f t="shared" si="24"/>
        <v/>
      </c>
      <c r="AB127" s="37" t="str">
        <f>IFERROR(VLOOKUP(B127,'Scheme Master'!$B$4:$C$79,2,FALSE),"")</f>
        <v/>
      </c>
      <c r="AK127" s="239"/>
      <c r="AL127" s="240"/>
      <c r="AM127" s="241"/>
      <c r="AN127" s="240"/>
    </row>
    <row r="128" ht="14.25" customHeight="1">
      <c r="B128" s="233"/>
      <c r="D128" s="234"/>
      <c r="H128" s="235"/>
      <c r="K128" s="236"/>
      <c r="L128" s="237"/>
      <c r="M128" s="233"/>
      <c r="N128" s="233"/>
      <c r="O128" s="233"/>
      <c r="P128" s="233"/>
      <c r="Q128" s="233"/>
      <c r="R128" s="233"/>
      <c r="S128" s="233"/>
      <c r="T128" s="237"/>
      <c r="U128" s="233"/>
      <c r="V128" s="238"/>
      <c r="W128" s="205" t="str">
        <f t="shared" si="24"/>
        <v/>
      </c>
      <c r="AB128" s="37" t="str">
        <f>IFERROR(VLOOKUP(B128,'Scheme Master'!$B$4:$C$79,2,FALSE),"")</f>
        <v/>
      </c>
      <c r="AK128" s="239"/>
      <c r="AL128" s="240"/>
      <c r="AM128" s="241"/>
      <c r="AN128" s="240"/>
    </row>
    <row r="129" ht="14.25" customHeight="1">
      <c r="B129" s="233"/>
      <c r="D129" s="234"/>
      <c r="H129" s="235"/>
      <c r="K129" s="236"/>
      <c r="L129" s="237"/>
      <c r="M129" s="233"/>
      <c r="N129" s="233"/>
      <c r="O129" s="233"/>
      <c r="P129" s="233"/>
      <c r="Q129" s="233"/>
      <c r="R129" s="233"/>
      <c r="S129" s="233"/>
      <c r="T129" s="237"/>
      <c r="U129" s="233"/>
      <c r="V129" s="238"/>
      <c r="W129" s="205" t="str">
        <f t="shared" si="24"/>
        <v/>
      </c>
      <c r="AB129" s="37" t="str">
        <f>IFERROR(VLOOKUP(B129,'Scheme Master'!$B$4:$C$79,2,FALSE),"")</f>
        <v/>
      </c>
      <c r="AK129" s="239"/>
      <c r="AL129" s="240"/>
      <c r="AM129" s="241"/>
      <c r="AN129" s="240"/>
    </row>
    <row r="130" ht="14.25" customHeight="1">
      <c r="B130" s="233"/>
      <c r="D130" s="234"/>
      <c r="H130" s="235"/>
      <c r="K130" s="236"/>
      <c r="L130" s="237"/>
      <c r="M130" s="233"/>
      <c r="N130" s="233"/>
      <c r="O130" s="233"/>
      <c r="P130" s="233"/>
      <c r="Q130" s="233"/>
      <c r="R130" s="233"/>
      <c r="S130" s="233"/>
      <c r="T130" s="237"/>
      <c r="U130" s="233"/>
      <c r="V130" s="238"/>
      <c r="W130" s="205" t="str">
        <f t="shared" si="24"/>
        <v/>
      </c>
      <c r="AB130" s="37" t="str">
        <f>IFERROR(VLOOKUP(B130,'Scheme Master'!$B$4:$C$79,2,FALSE),"")</f>
        <v/>
      </c>
      <c r="AK130" s="239"/>
      <c r="AL130" s="240"/>
      <c r="AM130" s="241"/>
      <c r="AN130" s="240"/>
    </row>
    <row r="131" ht="14.25" customHeight="1">
      <c r="B131" s="233"/>
      <c r="D131" s="234"/>
      <c r="H131" s="235"/>
      <c r="K131" s="236"/>
      <c r="L131" s="237"/>
      <c r="M131" s="233"/>
      <c r="N131" s="233"/>
      <c r="O131" s="233"/>
      <c r="P131" s="233"/>
      <c r="Q131" s="233"/>
      <c r="R131" s="233"/>
      <c r="S131" s="233"/>
      <c r="T131" s="237"/>
      <c r="U131" s="233"/>
      <c r="V131" s="238"/>
      <c r="W131" s="205" t="str">
        <f t="shared" si="24"/>
        <v/>
      </c>
      <c r="AB131" s="37" t="str">
        <f>IFERROR(VLOOKUP(B131,'Scheme Master'!$B$4:$C$79,2,FALSE),"")</f>
        <v/>
      </c>
      <c r="AK131" s="239"/>
      <c r="AL131" s="240"/>
      <c r="AM131" s="241"/>
      <c r="AN131" s="240"/>
    </row>
    <row r="132" ht="14.25" customHeight="1">
      <c r="B132" s="233"/>
      <c r="D132" s="234"/>
      <c r="H132" s="235"/>
      <c r="K132" s="236"/>
      <c r="L132" s="237"/>
      <c r="M132" s="233"/>
      <c r="N132" s="233"/>
      <c r="O132" s="233"/>
      <c r="P132" s="233"/>
      <c r="Q132" s="233"/>
      <c r="R132" s="233"/>
      <c r="S132" s="233"/>
      <c r="T132" s="237"/>
      <c r="U132" s="233"/>
      <c r="V132" s="238"/>
      <c r="W132" s="205" t="str">
        <f t="shared" si="24"/>
        <v/>
      </c>
      <c r="AB132" s="37" t="str">
        <f>IFERROR(VLOOKUP(B132,'Scheme Master'!$B$4:$C$79,2,FALSE),"")</f>
        <v/>
      </c>
      <c r="AK132" s="239"/>
      <c r="AL132" s="240"/>
      <c r="AM132" s="241"/>
      <c r="AN132" s="240"/>
    </row>
    <row r="133" ht="14.25" customHeight="1">
      <c r="B133" s="233"/>
      <c r="D133" s="234"/>
      <c r="H133" s="235"/>
      <c r="K133" s="236"/>
      <c r="L133" s="237"/>
      <c r="M133" s="233"/>
      <c r="N133" s="233"/>
      <c r="O133" s="233"/>
      <c r="P133" s="233"/>
      <c r="Q133" s="233"/>
      <c r="R133" s="233"/>
      <c r="S133" s="233"/>
      <c r="T133" s="237"/>
      <c r="U133" s="233"/>
      <c r="V133" s="238"/>
      <c r="W133" s="205" t="str">
        <f t="shared" si="24"/>
        <v/>
      </c>
      <c r="AB133" s="37" t="str">
        <f>IFERROR(VLOOKUP(B133,'Scheme Master'!$B$4:$C$79,2,FALSE),"")</f>
        <v/>
      </c>
      <c r="AK133" s="239"/>
      <c r="AL133" s="240"/>
      <c r="AM133" s="241"/>
      <c r="AN133" s="240"/>
    </row>
    <row r="134" ht="14.25" customHeight="1">
      <c r="B134" s="233"/>
      <c r="D134" s="234"/>
      <c r="H134" s="235"/>
      <c r="K134" s="236"/>
      <c r="L134" s="237"/>
      <c r="M134" s="233"/>
      <c r="N134" s="233"/>
      <c r="O134" s="233"/>
      <c r="P134" s="233"/>
      <c r="Q134" s="233"/>
      <c r="R134" s="233"/>
      <c r="S134" s="233"/>
      <c r="T134" s="237"/>
      <c r="U134" s="233"/>
      <c r="V134" s="238"/>
      <c r="W134" s="205" t="str">
        <f t="shared" si="24"/>
        <v/>
      </c>
      <c r="AB134" s="37" t="str">
        <f>IFERROR(VLOOKUP(B134,'Scheme Master'!$B$4:$C$79,2,FALSE),"")</f>
        <v/>
      </c>
      <c r="AK134" s="239"/>
      <c r="AL134" s="240"/>
      <c r="AM134" s="241"/>
      <c r="AN134" s="240"/>
    </row>
    <row r="135" ht="14.25" customHeight="1">
      <c r="B135" s="233"/>
      <c r="D135" s="234"/>
      <c r="H135" s="235"/>
      <c r="K135" s="236"/>
      <c r="L135" s="237"/>
      <c r="M135" s="233"/>
      <c r="N135" s="233"/>
      <c r="O135" s="233"/>
      <c r="P135" s="233"/>
      <c r="Q135" s="233"/>
      <c r="R135" s="233"/>
      <c r="S135" s="233"/>
      <c r="T135" s="237"/>
      <c r="U135" s="233"/>
      <c r="V135" s="238"/>
      <c r="W135" s="205" t="str">
        <f t="shared" si="24"/>
        <v/>
      </c>
      <c r="AB135" s="37" t="str">
        <f>IFERROR(VLOOKUP(B135,'Scheme Master'!$B$4:$C$79,2,FALSE),"")</f>
        <v/>
      </c>
      <c r="AK135" s="239"/>
      <c r="AL135" s="240"/>
      <c r="AM135" s="241"/>
      <c r="AN135" s="240"/>
    </row>
    <row r="136" ht="14.25" customHeight="1">
      <c r="B136" s="233"/>
      <c r="D136" s="234"/>
      <c r="H136" s="235"/>
      <c r="K136" s="236"/>
      <c r="L136" s="237"/>
      <c r="M136" s="233"/>
      <c r="N136" s="233"/>
      <c r="O136" s="233"/>
      <c r="P136" s="233"/>
      <c r="Q136" s="233"/>
      <c r="R136" s="233"/>
      <c r="S136" s="233"/>
      <c r="T136" s="237"/>
      <c r="U136" s="233"/>
      <c r="V136" s="238"/>
      <c r="W136" s="205" t="str">
        <f t="shared" si="24"/>
        <v/>
      </c>
      <c r="AB136" s="37" t="str">
        <f>IFERROR(VLOOKUP(B136,'Scheme Master'!$B$4:$C$79,2,FALSE),"")</f>
        <v/>
      </c>
      <c r="AK136" s="239"/>
      <c r="AL136" s="240"/>
      <c r="AM136" s="241"/>
      <c r="AN136" s="240"/>
    </row>
    <row r="137" ht="14.25" customHeight="1">
      <c r="B137" s="233"/>
      <c r="D137" s="234"/>
      <c r="H137" s="235"/>
      <c r="K137" s="236"/>
      <c r="L137" s="237"/>
      <c r="M137" s="233"/>
      <c r="N137" s="233"/>
      <c r="O137" s="233"/>
      <c r="P137" s="233"/>
      <c r="Q137" s="233"/>
      <c r="R137" s="233"/>
      <c r="S137" s="233"/>
      <c r="T137" s="237"/>
      <c r="U137" s="233"/>
      <c r="V137" s="238"/>
      <c r="W137" s="205" t="str">
        <f t="shared" si="24"/>
        <v/>
      </c>
      <c r="AB137" s="37" t="str">
        <f>IFERROR(VLOOKUP(B137,'Scheme Master'!$B$4:$C$79,2,FALSE),"")</f>
        <v/>
      </c>
      <c r="AK137" s="239"/>
      <c r="AL137" s="240"/>
      <c r="AM137" s="241"/>
      <c r="AN137" s="240"/>
    </row>
    <row r="138" ht="14.25" customHeight="1">
      <c r="B138" s="233"/>
      <c r="D138" s="234"/>
      <c r="H138" s="235"/>
      <c r="K138" s="236"/>
      <c r="L138" s="237"/>
      <c r="M138" s="233"/>
      <c r="N138" s="233"/>
      <c r="O138" s="233"/>
      <c r="P138" s="233"/>
      <c r="Q138" s="233"/>
      <c r="R138" s="233"/>
      <c r="S138" s="233"/>
      <c r="T138" s="237"/>
      <c r="U138" s="233"/>
      <c r="V138" s="238"/>
      <c r="W138" s="205" t="str">
        <f t="shared" si="24"/>
        <v/>
      </c>
      <c r="AB138" s="37" t="str">
        <f>IFERROR(VLOOKUP(B138,'Scheme Master'!$B$4:$C$79,2,FALSE),"")</f>
        <v/>
      </c>
      <c r="AK138" s="239"/>
      <c r="AL138" s="240"/>
      <c r="AM138" s="241"/>
      <c r="AN138" s="240"/>
    </row>
    <row r="139" ht="14.25" customHeight="1">
      <c r="B139" s="233"/>
      <c r="D139" s="234"/>
      <c r="H139" s="235"/>
      <c r="K139" s="236"/>
      <c r="L139" s="237"/>
      <c r="M139" s="233"/>
      <c r="N139" s="233"/>
      <c r="O139" s="233"/>
      <c r="P139" s="233"/>
      <c r="Q139" s="233"/>
      <c r="R139" s="233"/>
      <c r="S139" s="233"/>
      <c r="T139" s="237"/>
      <c r="U139" s="233"/>
      <c r="V139" s="238"/>
      <c r="W139" s="205" t="str">
        <f t="shared" si="24"/>
        <v/>
      </c>
      <c r="AB139" s="37" t="str">
        <f>IFERROR(VLOOKUP(B139,'Scheme Master'!$B$4:$C$79,2,FALSE),"")</f>
        <v/>
      </c>
      <c r="AK139" s="239"/>
      <c r="AL139" s="240"/>
      <c r="AM139" s="241"/>
      <c r="AN139" s="240"/>
    </row>
    <row r="140" ht="14.25" customHeight="1">
      <c r="B140" s="233"/>
      <c r="D140" s="234"/>
      <c r="H140" s="235"/>
      <c r="K140" s="236"/>
      <c r="L140" s="237"/>
      <c r="M140" s="233"/>
      <c r="N140" s="233"/>
      <c r="O140" s="233"/>
      <c r="P140" s="233"/>
      <c r="Q140" s="233"/>
      <c r="R140" s="233"/>
      <c r="S140" s="233"/>
      <c r="T140" s="237"/>
      <c r="U140" s="233"/>
      <c r="V140" s="238"/>
      <c r="W140" s="205" t="str">
        <f t="shared" si="24"/>
        <v/>
      </c>
      <c r="AB140" s="37" t="str">
        <f>IFERROR(VLOOKUP(B140,'Scheme Master'!$B$4:$C$79,2,FALSE),"")</f>
        <v/>
      </c>
      <c r="AK140" s="239"/>
      <c r="AL140" s="240"/>
      <c r="AM140" s="241"/>
      <c r="AN140" s="240"/>
    </row>
    <row r="141" ht="14.25" customHeight="1">
      <c r="B141" s="233"/>
      <c r="D141" s="234"/>
      <c r="H141" s="235"/>
      <c r="K141" s="236"/>
      <c r="L141" s="237"/>
      <c r="M141" s="233"/>
      <c r="N141" s="233"/>
      <c r="O141" s="233"/>
      <c r="P141" s="233"/>
      <c r="Q141" s="233"/>
      <c r="R141" s="233"/>
      <c r="S141" s="233"/>
      <c r="T141" s="237"/>
      <c r="U141" s="233"/>
      <c r="V141" s="238"/>
      <c r="W141" s="205" t="str">
        <f t="shared" si="24"/>
        <v/>
      </c>
      <c r="AB141" s="37" t="str">
        <f>IFERROR(VLOOKUP(B141,'Scheme Master'!$B$4:$C$79,2,FALSE),"")</f>
        <v/>
      </c>
      <c r="AK141" s="239"/>
      <c r="AL141" s="240"/>
      <c r="AM141" s="241"/>
      <c r="AN141" s="240"/>
    </row>
    <row r="142" ht="14.25" customHeight="1">
      <c r="B142" s="233"/>
      <c r="D142" s="234"/>
      <c r="H142" s="235"/>
      <c r="K142" s="236"/>
      <c r="L142" s="237"/>
      <c r="M142" s="233"/>
      <c r="N142" s="233"/>
      <c r="O142" s="233"/>
      <c r="P142" s="233"/>
      <c r="Q142" s="233"/>
      <c r="R142" s="233"/>
      <c r="S142" s="233"/>
      <c r="T142" s="237"/>
      <c r="U142" s="233"/>
      <c r="V142" s="238"/>
      <c r="W142" s="205" t="str">
        <f t="shared" si="24"/>
        <v/>
      </c>
      <c r="AB142" s="37" t="str">
        <f>IFERROR(VLOOKUP(B142,'Scheme Master'!$B$4:$C$79,2,FALSE),"")</f>
        <v/>
      </c>
      <c r="AK142" s="239"/>
      <c r="AL142" s="240"/>
      <c r="AM142" s="241"/>
      <c r="AN142" s="240"/>
    </row>
    <row r="143" ht="14.25" customHeight="1">
      <c r="B143" s="233"/>
      <c r="D143" s="234"/>
      <c r="H143" s="235"/>
      <c r="K143" s="236"/>
      <c r="L143" s="237"/>
      <c r="M143" s="233"/>
      <c r="N143" s="233"/>
      <c r="O143" s="233"/>
      <c r="P143" s="233"/>
      <c r="Q143" s="233"/>
      <c r="R143" s="233"/>
      <c r="S143" s="233"/>
      <c r="T143" s="237"/>
      <c r="U143" s="233"/>
      <c r="V143" s="238"/>
      <c r="W143" s="205" t="str">
        <f t="shared" si="24"/>
        <v/>
      </c>
      <c r="AB143" s="37" t="str">
        <f>IFERROR(VLOOKUP(B143,'Scheme Master'!$B$4:$C$79,2,FALSE),"")</f>
        <v/>
      </c>
      <c r="AK143" s="239"/>
      <c r="AL143" s="240"/>
      <c r="AM143" s="241"/>
      <c r="AN143" s="240"/>
    </row>
    <row r="144" ht="14.25" customHeight="1">
      <c r="B144" s="233"/>
      <c r="D144" s="234"/>
      <c r="H144" s="235"/>
      <c r="K144" s="236"/>
      <c r="L144" s="237"/>
      <c r="M144" s="233"/>
      <c r="N144" s="233"/>
      <c r="O144" s="233"/>
      <c r="P144" s="233"/>
      <c r="Q144" s="233"/>
      <c r="R144" s="233"/>
      <c r="S144" s="233"/>
      <c r="T144" s="237"/>
      <c r="U144" s="233"/>
      <c r="V144" s="238"/>
      <c r="W144" s="205" t="str">
        <f t="shared" si="24"/>
        <v/>
      </c>
      <c r="AB144" s="37" t="str">
        <f>IFERROR(VLOOKUP(B144,'Scheme Master'!$B$4:$C$79,2,FALSE),"")</f>
        <v/>
      </c>
      <c r="AK144" s="239"/>
      <c r="AL144" s="240"/>
      <c r="AM144" s="241"/>
      <c r="AN144" s="240"/>
    </row>
    <row r="145" ht="14.25" customHeight="1">
      <c r="B145" s="233"/>
      <c r="D145" s="234"/>
      <c r="H145" s="235"/>
      <c r="K145" s="236"/>
      <c r="L145" s="237"/>
      <c r="M145" s="233"/>
      <c r="N145" s="233"/>
      <c r="O145" s="233"/>
      <c r="P145" s="233"/>
      <c r="Q145" s="233"/>
      <c r="R145" s="233"/>
      <c r="S145" s="233"/>
      <c r="T145" s="237"/>
      <c r="U145" s="233"/>
      <c r="V145" s="238"/>
      <c r="W145" s="205" t="str">
        <f t="shared" si="24"/>
        <v/>
      </c>
      <c r="AB145" s="37" t="str">
        <f>IFERROR(VLOOKUP(B145,'Scheme Master'!$B$4:$C$79,2,FALSE),"")</f>
        <v/>
      </c>
      <c r="AK145" s="239"/>
      <c r="AL145" s="240"/>
      <c r="AM145" s="241"/>
      <c r="AN145" s="240"/>
    </row>
    <row r="146" ht="14.25" customHeight="1">
      <c r="B146" s="233"/>
      <c r="D146" s="234"/>
      <c r="H146" s="235"/>
      <c r="K146" s="236"/>
      <c r="L146" s="237"/>
      <c r="M146" s="233"/>
      <c r="N146" s="233"/>
      <c r="O146" s="233"/>
      <c r="P146" s="233"/>
      <c r="Q146" s="233"/>
      <c r="R146" s="233"/>
      <c r="S146" s="233"/>
      <c r="T146" s="237"/>
      <c r="U146" s="233"/>
      <c r="V146" s="238"/>
      <c r="W146" s="205" t="str">
        <f t="shared" si="24"/>
        <v/>
      </c>
      <c r="AB146" s="37" t="str">
        <f>IFERROR(VLOOKUP(B146,'Scheme Master'!$B$4:$C$79,2,FALSE),"")</f>
        <v/>
      </c>
      <c r="AK146" s="239"/>
      <c r="AL146" s="240"/>
      <c r="AM146" s="241"/>
      <c r="AN146" s="240"/>
    </row>
    <row r="147" ht="14.25" customHeight="1">
      <c r="B147" s="233"/>
      <c r="D147" s="234"/>
      <c r="H147" s="235"/>
      <c r="K147" s="236"/>
      <c r="L147" s="237"/>
      <c r="M147" s="233"/>
      <c r="N147" s="233"/>
      <c r="O147" s="233"/>
      <c r="P147" s="233"/>
      <c r="Q147" s="233"/>
      <c r="R147" s="233"/>
      <c r="S147" s="233"/>
      <c r="T147" s="237"/>
      <c r="U147" s="233"/>
      <c r="V147" s="238"/>
      <c r="W147" s="205" t="str">
        <f t="shared" si="24"/>
        <v/>
      </c>
      <c r="AB147" s="37" t="str">
        <f>IFERROR(VLOOKUP(B147,'Scheme Master'!$B$4:$C$79,2,FALSE),"")</f>
        <v/>
      </c>
      <c r="AK147" s="239"/>
      <c r="AL147" s="240"/>
      <c r="AM147" s="241"/>
      <c r="AN147" s="240"/>
    </row>
    <row r="148" ht="14.25" customHeight="1">
      <c r="B148" s="233"/>
      <c r="D148" s="234"/>
      <c r="H148" s="235"/>
      <c r="K148" s="236"/>
      <c r="L148" s="237"/>
      <c r="M148" s="233"/>
      <c r="N148" s="233"/>
      <c r="O148" s="233"/>
      <c r="P148" s="233"/>
      <c r="Q148" s="233"/>
      <c r="R148" s="233"/>
      <c r="S148" s="233"/>
      <c r="T148" s="237"/>
      <c r="U148" s="233"/>
      <c r="V148" s="238"/>
      <c r="W148" s="205" t="str">
        <f t="shared" si="24"/>
        <v/>
      </c>
      <c r="AB148" s="37" t="str">
        <f>IFERROR(VLOOKUP(B148,'Scheme Master'!$B$4:$C$79,2,FALSE),"")</f>
        <v/>
      </c>
      <c r="AK148" s="239"/>
      <c r="AL148" s="240"/>
      <c r="AM148" s="241"/>
      <c r="AN148" s="240"/>
    </row>
    <row r="149" ht="14.25" customHeight="1">
      <c r="B149" s="233"/>
      <c r="D149" s="234"/>
      <c r="H149" s="235"/>
      <c r="K149" s="236"/>
      <c r="L149" s="237"/>
      <c r="M149" s="233"/>
      <c r="N149" s="233"/>
      <c r="O149" s="233"/>
      <c r="P149" s="233"/>
      <c r="Q149" s="233"/>
      <c r="R149" s="233"/>
      <c r="S149" s="233"/>
      <c r="T149" s="237"/>
      <c r="U149" s="233"/>
      <c r="V149" s="238"/>
      <c r="W149" s="205" t="str">
        <f t="shared" si="24"/>
        <v/>
      </c>
      <c r="AB149" s="37" t="str">
        <f>IFERROR(VLOOKUP(B149,'Scheme Master'!$B$4:$C$79,2,FALSE),"")</f>
        <v/>
      </c>
      <c r="AK149" s="239"/>
      <c r="AL149" s="240"/>
      <c r="AM149" s="241"/>
      <c r="AN149" s="240"/>
    </row>
    <row r="150" ht="14.25" customHeight="1">
      <c r="B150" s="233"/>
      <c r="D150" s="234"/>
      <c r="H150" s="235"/>
      <c r="K150" s="236"/>
      <c r="L150" s="237"/>
      <c r="M150" s="233"/>
      <c r="N150" s="233"/>
      <c r="O150" s="233"/>
      <c r="P150" s="233"/>
      <c r="Q150" s="233"/>
      <c r="R150" s="233"/>
      <c r="S150" s="233"/>
      <c r="T150" s="237"/>
      <c r="U150" s="233"/>
      <c r="V150" s="238"/>
      <c r="W150" s="205" t="str">
        <f t="shared" si="24"/>
        <v/>
      </c>
      <c r="AB150" s="37" t="str">
        <f>IFERROR(VLOOKUP(B150,'Scheme Master'!$B$4:$C$79,2,FALSE),"")</f>
        <v/>
      </c>
      <c r="AK150" s="239"/>
      <c r="AL150" s="240"/>
      <c r="AM150" s="241"/>
      <c r="AN150" s="240"/>
    </row>
    <row r="151" ht="14.25" customHeight="1">
      <c r="B151" s="233"/>
      <c r="D151" s="234"/>
      <c r="H151" s="235"/>
      <c r="K151" s="236"/>
      <c r="L151" s="237"/>
      <c r="M151" s="233"/>
      <c r="N151" s="233"/>
      <c r="O151" s="233"/>
      <c r="P151" s="233"/>
      <c r="Q151" s="233"/>
      <c r="R151" s="233"/>
      <c r="S151" s="233"/>
      <c r="T151" s="237"/>
      <c r="U151" s="233"/>
      <c r="V151" s="238"/>
      <c r="W151" s="205" t="str">
        <f t="shared" si="24"/>
        <v/>
      </c>
      <c r="AB151" s="37" t="str">
        <f>IFERROR(VLOOKUP(B151,'Scheme Master'!$B$4:$C$79,2,FALSE),"")</f>
        <v/>
      </c>
      <c r="AK151" s="239"/>
      <c r="AL151" s="240"/>
      <c r="AM151" s="241"/>
      <c r="AN151" s="240"/>
    </row>
    <row r="152" ht="14.25" customHeight="1">
      <c r="B152" s="233"/>
      <c r="D152" s="234"/>
      <c r="H152" s="235"/>
      <c r="K152" s="236"/>
      <c r="L152" s="237"/>
      <c r="M152" s="233"/>
      <c r="N152" s="233"/>
      <c r="O152" s="233"/>
      <c r="P152" s="233"/>
      <c r="Q152" s="233"/>
      <c r="R152" s="233"/>
      <c r="S152" s="233"/>
      <c r="T152" s="237"/>
      <c r="U152" s="233"/>
      <c r="V152" s="238"/>
      <c r="W152" s="205" t="str">
        <f t="shared" si="24"/>
        <v/>
      </c>
      <c r="AB152" s="37" t="str">
        <f>IFERROR(VLOOKUP(B152,'Scheme Master'!$B$4:$C$79,2,FALSE),"")</f>
        <v/>
      </c>
      <c r="AK152" s="239"/>
      <c r="AL152" s="240"/>
      <c r="AM152" s="241"/>
      <c r="AN152" s="240"/>
    </row>
    <row r="153" ht="14.25" customHeight="1">
      <c r="B153" s="233"/>
      <c r="D153" s="234"/>
      <c r="H153" s="235"/>
      <c r="K153" s="236"/>
      <c r="L153" s="237"/>
      <c r="M153" s="233"/>
      <c r="N153" s="233"/>
      <c r="O153" s="233"/>
      <c r="P153" s="233"/>
      <c r="Q153" s="233"/>
      <c r="R153" s="233"/>
      <c r="S153" s="233"/>
      <c r="T153" s="237"/>
      <c r="U153" s="233"/>
      <c r="V153" s="238"/>
      <c r="W153" s="205" t="str">
        <f t="shared" si="24"/>
        <v/>
      </c>
      <c r="AB153" s="37" t="str">
        <f>IFERROR(VLOOKUP(B153,'Scheme Master'!$B$4:$C$79,2,FALSE),"")</f>
        <v/>
      </c>
      <c r="AK153" s="239"/>
      <c r="AL153" s="240"/>
      <c r="AM153" s="241"/>
      <c r="AN153" s="240"/>
    </row>
    <row r="154" ht="14.25" customHeight="1">
      <c r="B154" s="233"/>
      <c r="D154" s="234"/>
      <c r="H154" s="235"/>
      <c r="K154" s="236"/>
      <c r="L154" s="237"/>
      <c r="M154" s="233"/>
      <c r="N154" s="233"/>
      <c r="O154" s="233"/>
      <c r="P154" s="233"/>
      <c r="Q154" s="233"/>
      <c r="R154" s="233"/>
      <c r="S154" s="233"/>
      <c r="T154" s="237"/>
      <c r="U154" s="233"/>
      <c r="V154" s="238"/>
      <c r="W154" s="205" t="str">
        <f t="shared" si="24"/>
        <v/>
      </c>
      <c r="AB154" s="37" t="str">
        <f>IFERROR(VLOOKUP(B154,'Scheme Master'!$B$4:$C$79,2,FALSE),"")</f>
        <v/>
      </c>
      <c r="AK154" s="239"/>
      <c r="AL154" s="240"/>
      <c r="AM154" s="241"/>
      <c r="AN154" s="240"/>
    </row>
    <row r="155" ht="14.25" customHeight="1">
      <c r="B155" s="233"/>
      <c r="D155" s="234"/>
      <c r="H155" s="235"/>
      <c r="K155" s="236"/>
      <c r="L155" s="237"/>
      <c r="M155" s="233"/>
      <c r="N155" s="233"/>
      <c r="O155" s="233"/>
      <c r="P155" s="233"/>
      <c r="Q155" s="233"/>
      <c r="R155" s="233"/>
      <c r="S155" s="233"/>
      <c r="T155" s="237"/>
      <c r="U155" s="233"/>
      <c r="V155" s="238"/>
      <c r="W155" s="205" t="str">
        <f t="shared" si="24"/>
        <v/>
      </c>
      <c r="AB155" s="37" t="str">
        <f>IFERROR(VLOOKUP(B155,'Scheme Master'!$B$4:$C$79,2,FALSE),"")</f>
        <v/>
      </c>
      <c r="AK155" s="239"/>
      <c r="AL155" s="240"/>
      <c r="AM155" s="241"/>
      <c r="AN155" s="240"/>
    </row>
    <row r="156" ht="14.25" customHeight="1">
      <c r="B156" s="233"/>
      <c r="D156" s="234"/>
      <c r="H156" s="235"/>
      <c r="K156" s="236"/>
      <c r="L156" s="237"/>
      <c r="M156" s="233"/>
      <c r="N156" s="233"/>
      <c r="O156" s="233"/>
      <c r="P156" s="233"/>
      <c r="Q156" s="233"/>
      <c r="R156" s="233"/>
      <c r="S156" s="233"/>
      <c r="T156" s="237"/>
      <c r="U156" s="233"/>
      <c r="V156" s="238"/>
      <c r="W156" s="205" t="str">
        <f t="shared" si="24"/>
        <v/>
      </c>
      <c r="AB156" s="37" t="str">
        <f>IFERROR(VLOOKUP(B156,'Scheme Master'!$B$4:$C$79,2,FALSE),"")</f>
        <v/>
      </c>
      <c r="AK156" s="239"/>
      <c r="AL156" s="240"/>
      <c r="AM156" s="241"/>
      <c r="AN156" s="240"/>
    </row>
    <row r="157" ht="14.25" customHeight="1">
      <c r="B157" s="233"/>
      <c r="D157" s="234"/>
      <c r="H157" s="235"/>
      <c r="K157" s="236"/>
      <c r="L157" s="237"/>
      <c r="M157" s="233"/>
      <c r="N157" s="233"/>
      <c r="O157" s="233"/>
      <c r="P157" s="233"/>
      <c r="Q157" s="233"/>
      <c r="R157" s="233"/>
      <c r="S157" s="233"/>
      <c r="T157" s="237"/>
      <c r="U157" s="233"/>
      <c r="V157" s="238"/>
      <c r="W157" s="205" t="str">
        <f t="shared" si="24"/>
        <v/>
      </c>
      <c r="AB157" s="37" t="str">
        <f>IFERROR(VLOOKUP(B157,'Scheme Master'!$B$4:$C$79,2,FALSE),"")</f>
        <v/>
      </c>
      <c r="AK157" s="239"/>
      <c r="AL157" s="240"/>
      <c r="AM157" s="241"/>
      <c r="AN157" s="240"/>
    </row>
    <row r="158" ht="14.25" customHeight="1">
      <c r="B158" s="233"/>
      <c r="D158" s="234"/>
      <c r="H158" s="235"/>
      <c r="K158" s="236"/>
      <c r="L158" s="237"/>
      <c r="M158" s="233"/>
      <c r="N158" s="233"/>
      <c r="O158" s="233"/>
      <c r="P158" s="233"/>
      <c r="Q158" s="233"/>
      <c r="R158" s="233"/>
      <c r="S158" s="233"/>
      <c r="T158" s="237"/>
      <c r="U158" s="233"/>
      <c r="V158" s="238"/>
      <c r="W158" s="205" t="str">
        <f t="shared" si="24"/>
        <v/>
      </c>
      <c r="AB158" s="37" t="str">
        <f>IFERROR(VLOOKUP(B158,'Scheme Master'!$B$4:$C$79,2,FALSE),"")</f>
        <v/>
      </c>
      <c r="AK158" s="239"/>
      <c r="AL158" s="240"/>
      <c r="AM158" s="241"/>
      <c r="AN158" s="240"/>
    </row>
    <row r="159" ht="14.25" customHeight="1">
      <c r="B159" s="233"/>
      <c r="D159" s="234"/>
      <c r="H159" s="235"/>
      <c r="K159" s="236"/>
      <c r="L159" s="237"/>
      <c r="M159" s="233"/>
      <c r="N159" s="233"/>
      <c r="O159" s="233"/>
      <c r="P159" s="233"/>
      <c r="Q159" s="233"/>
      <c r="R159" s="233"/>
      <c r="S159" s="233"/>
      <c r="T159" s="237"/>
      <c r="U159" s="233"/>
      <c r="V159" s="238"/>
      <c r="W159" s="205" t="str">
        <f t="shared" si="24"/>
        <v/>
      </c>
      <c r="AB159" s="37" t="str">
        <f>IFERROR(VLOOKUP(B159,'Scheme Master'!$B$4:$C$79,2,FALSE),"")</f>
        <v/>
      </c>
      <c r="AK159" s="239"/>
      <c r="AL159" s="240"/>
      <c r="AM159" s="241"/>
      <c r="AN159" s="240"/>
    </row>
    <row r="160" ht="14.25" customHeight="1">
      <c r="B160" s="233"/>
      <c r="D160" s="234"/>
      <c r="H160" s="235"/>
      <c r="K160" s="236"/>
      <c r="L160" s="237"/>
      <c r="M160" s="233"/>
      <c r="N160" s="233"/>
      <c r="O160" s="233"/>
      <c r="P160" s="233"/>
      <c r="Q160" s="233"/>
      <c r="R160" s="233"/>
      <c r="S160" s="233"/>
      <c r="T160" s="237"/>
      <c r="U160" s="233"/>
      <c r="V160" s="238"/>
      <c r="W160" s="205" t="str">
        <f t="shared" si="24"/>
        <v/>
      </c>
      <c r="AB160" s="37" t="str">
        <f>IFERROR(VLOOKUP(B160,'Scheme Master'!$B$4:$C$79,2,FALSE),"")</f>
        <v/>
      </c>
      <c r="AK160" s="239"/>
      <c r="AL160" s="240"/>
      <c r="AM160" s="241"/>
      <c r="AN160" s="240"/>
    </row>
    <row r="161" ht="14.25" customHeight="1">
      <c r="B161" s="233"/>
      <c r="D161" s="234"/>
      <c r="H161" s="235"/>
      <c r="K161" s="236"/>
      <c r="L161" s="237"/>
      <c r="M161" s="233"/>
      <c r="N161" s="233"/>
      <c r="O161" s="233"/>
      <c r="P161" s="233"/>
      <c r="Q161" s="233"/>
      <c r="R161" s="233"/>
      <c r="S161" s="233"/>
      <c r="T161" s="237"/>
      <c r="U161" s="233"/>
      <c r="V161" s="238"/>
      <c r="W161" s="205" t="str">
        <f t="shared" si="24"/>
        <v/>
      </c>
      <c r="AB161" s="37" t="str">
        <f>IFERROR(VLOOKUP(B161,'Scheme Master'!$B$4:$C$79,2,FALSE),"")</f>
        <v/>
      </c>
      <c r="AK161" s="239"/>
      <c r="AL161" s="240"/>
      <c r="AM161" s="241"/>
      <c r="AN161" s="240"/>
    </row>
    <row r="162" ht="14.25" customHeight="1">
      <c r="B162" s="233"/>
      <c r="D162" s="234"/>
      <c r="H162" s="235"/>
      <c r="K162" s="236"/>
      <c r="L162" s="237"/>
      <c r="M162" s="233"/>
      <c r="N162" s="233"/>
      <c r="O162" s="233"/>
      <c r="P162" s="233"/>
      <c r="Q162" s="233"/>
      <c r="R162" s="233"/>
      <c r="S162" s="233"/>
      <c r="T162" s="237"/>
      <c r="U162" s="233"/>
      <c r="V162" s="238"/>
      <c r="W162" s="205" t="str">
        <f t="shared" si="24"/>
        <v/>
      </c>
      <c r="AB162" s="37" t="str">
        <f>IFERROR(VLOOKUP(B162,'Scheme Master'!$B$4:$C$79,2,FALSE),"")</f>
        <v/>
      </c>
      <c r="AK162" s="239"/>
      <c r="AL162" s="240"/>
      <c r="AM162" s="241"/>
      <c r="AN162" s="240"/>
    </row>
    <row r="163" ht="14.25" customHeight="1">
      <c r="B163" s="233"/>
      <c r="D163" s="234"/>
      <c r="H163" s="235"/>
      <c r="K163" s="236"/>
      <c r="L163" s="237"/>
      <c r="M163" s="233"/>
      <c r="N163" s="233"/>
      <c r="O163" s="233"/>
      <c r="P163" s="233"/>
      <c r="Q163" s="233"/>
      <c r="R163" s="233"/>
      <c r="S163" s="233"/>
      <c r="T163" s="237"/>
      <c r="U163" s="233"/>
      <c r="V163" s="238"/>
      <c r="W163" s="205" t="str">
        <f t="shared" si="24"/>
        <v/>
      </c>
      <c r="AB163" s="37" t="str">
        <f>IFERROR(VLOOKUP(B163,'Scheme Master'!$B$4:$C$79,2,FALSE),"")</f>
        <v/>
      </c>
      <c r="AK163" s="239"/>
      <c r="AL163" s="240"/>
      <c r="AM163" s="241"/>
      <c r="AN163" s="240"/>
    </row>
    <row r="164" ht="14.25" customHeight="1">
      <c r="B164" s="233"/>
      <c r="D164" s="234"/>
      <c r="H164" s="235"/>
      <c r="K164" s="236"/>
      <c r="L164" s="237"/>
      <c r="M164" s="233"/>
      <c r="N164" s="233"/>
      <c r="O164" s="233"/>
      <c r="P164" s="233"/>
      <c r="Q164" s="233"/>
      <c r="R164" s="233"/>
      <c r="S164" s="233"/>
      <c r="T164" s="237"/>
      <c r="U164" s="233"/>
      <c r="V164" s="238"/>
      <c r="W164" s="205" t="str">
        <f t="shared" si="24"/>
        <v/>
      </c>
      <c r="AB164" s="37" t="str">
        <f>IFERROR(VLOOKUP(B164,'Scheme Master'!$B$4:$C$79,2,FALSE),"")</f>
        <v/>
      </c>
      <c r="AK164" s="239"/>
      <c r="AL164" s="240"/>
      <c r="AM164" s="241"/>
      <c r="AN164" s="240"/>
    </row>
    <row r="165" ht="14.25" customHeight="1">
      <c r="B165" s="233"/>
      <c r="D165" s="234"/>
      <c r="H165" s="235"/>
      <c r="K165" s="236"/>
      <c r="L165" s="237"/>
      <c r="M165" s="233"/>
      <c r="N165" s="233"/>
      <c r="O165" s="233"/>
      <c r="P165" s="233"/>
      <c r="Q165" s="233"/>
      <c r="R165" s="233"/>
      <c r="S165" s="233"/>
      <c r="T165" s="237"/>
      <c r="U165" s="233"/>
      <c r="V165" s="238"/>
      <c r="W165" s="238"/>
      <c r="AB165" s="37" t="str">
        <f>IFERROR(VLOOKUP(B165,'Scheme Master'!$B$4:$C$79,2,FALSE),"")</f>
        <v/>
      </c>
      <c r="AK165" s="239"/>
      <c r="AL165" s="240"/>
      <c r="AM165" s="241"/>
      <c r="AN165" s="240"/>
    </row>
    <row r="166" ht="14.25" customHeight="1">
      <c r="B166" s="233"/>
      <c r="D166" s="234"/>
      <c r="H166" s="235"/>
      <c r="K166" s="236"/>
      <c r="L166" s="237"/>
      <c r="M166" s="233"/>
      <c r="N166" s="233"/>
      <c r="O166" s="233"/>
      <c r="P166" s="233"/>
      <c r="Q166" s="233"/>
      <c r="R166" s="233"/>
      <c r="S166" s="233"/>
      <c r="T166" s="237"/>
      <c r="U166" s="233"/>
      <c r="V166" s="238"/>
      <c r="W166" s="238"/>
      <c r="AB166" s="37" t="str">
        <f>IFERROR(VLOOKUP(B166,'Scheme Master'!$B$4:$C$79,2,FALSE),"")</f>
        <v/>
      </c>
      <c r="AK166" s="239"/>
      <c r="AL166" s="240"/>
      <c r="AM166" s="241"/>
      <c r="AN166" s="240"/>
    </row>
    <row r="167" ht="14.25" customHeight="1">
      <c r="B167" s="233"/>
      <c r="D167" s="234"/>
      <c r="H167" s="235"/>
      <c r="K167" s="236"/>
      <c r="L167" s="237"/>
      <c r="M167" s="233"/>
      <c r="N167" s="233"/>
      <c r="O167" s="233"/>
      <c r="P167" s="233"/>
      <c r="Q167" s="233"/>
      <c r="R167" s="233"/>
      <c r="S167" s="233"/>
      <c r="T167" s="237"/>
      <c r="U167" s="233"/>
      <c r="V167" s="238"/>
      <c r="W167" s="238"/>
      <c r="AB167" s="37" t="str">
        <f>IFERROR(VLOOKUP(B167,'Scheme Master'!$B$4:$C$79,2,FALSE),"")</f>
        <v/>
      </c>
      <c r="AK167" s="239"/>
      <c r="AL167" s="240"/>
      <c r="AM167" s="241"/>
      <c r="AN167" s="240"/>
    </row>
    <row r="168" ht="14.25" customHeight="1">
      <c r="B168" s="233"/>
      <c r="D168" s="234"/>
      <c r="H168" s="235"/>
      <c r="K168" s="236"/>
      <c r="L168" s="237"/>
      <c r="M168" s="233"/>
      <c r="N168" s="233"/>
      <c r="O168" s="233"/>
      <c r="P168" s="233"/>
      <c r="Q168" s="233"/>
      <c r="R168" s="233"/>
      <c r="S168" s="233"/>
      <c r="T168" s="237"/>
      <c r="U168" s="233"/>
      <c r="V168" s="238"/>
      <c r="W168" s="238"/>
      <c r="AB168" s="37" t="str">
        <f>IFERROR(VLOOKUP(B168,'Scheme Master'!$B$4:$C$79,2,FALSE),"")</f>
        <v/>
      </c>
      <c r="AK168" s="239"/>
      <c r="AL168" s="240"/>
      <c r="AM168" s="241"/>
      <c r="AN168" s="240"/>
    </row>
    <row r="169" ht="14.25" customHeight="1">
      <c r="B169" s="233"/>
      <c r="D169" s="234"/>
      <c r="H169" s="235"/>
      <c r="K169" s="236"/>
      <c r="L169" s="237"/>
      <c r="M169" s="233"/>
      <c r="N169" s="233"/>
      <c r="O169" s="233"/>
      <c r="P169" s="233"/>
      <c r="Q169" s="233"/>
      <c r="R169" s="233"/>
      <c r="S169" s="233"/>
      <c r="T169" s="237"/>
      <c r="U169" s="233"/>
      <c r="V169" s="238"/>
      <c r="W169" s="238"/>
      <c r="AB169" s="37" t="str">
        <f>IFERROR(VLOOKUP(B169,'Scheme Master'!$B$4:$C$79,2,FALSE),"")</f>
        <v/>
      </c>
      <c r="AK169" s="239"/>
      <c r="AL169" s="240"/>
      <c r="AM169" s="241"/>
      <c r="AN169" s="240"/>
    </row>
    <row r="170" ht="14.25" customHeight="1">
      <c r="B170" s="233"/>
      <c r="D170" s="234"/>
      <c r="H170" s="235"/>
      <c r="K170" s="236"/>
      <c r="L170" s="237"/>
      <c r="M170" s="233"/>
      <c r="N170" s="233"/>
      <c r="O170" s="233"/>
      <c r="P170" s="233"/>
      <c r="Q170" s="233"/>
      <c r="R170" s="233"/>
      <c r="S170" s="233"/>
      <c r="T170" s="237"/>
      <c r="U170" s="233"/>
      <c r="V170" s="238"/>
      <c r="W170" s="238"/>
      <c r="AB170" s="37" t="str">
        <f>IFERROR(VLOOKUP(B170,'Scheme Master'!$B$4:$C$79,2,FALSE),"")</f>
        <v/>
      </c>
      <c r="AK170" s="239"/>
      <c r="AL170" s="240"/>
      <c r="AM170" s="241"/>
      <c r="AN170" s="240"/>
    </row>
    <row r="171" ht="14.25" customHeight="1">
      <c r="B171" s="233"/>
      <c r="D171" s="234"/>
      <c r="H171" s="235"/>
      <c r="K171" s="236"/>
      <c r="L171" s="237"/>
      <c r="M171" s="233"/>
      <c r="N171" s="233"/>
      <c r="O171" s="233"/>
      <c r="P171" s="233"/>
      <c r="Q171" s="233"/>
      <c r="R171" s="233"/>
      <c r="S171" s="233"/>
      <c r="T171" s="237"/>
      <c r="U171" s="233"/>
      <c r="V171" s="238"/>
      <c r="W171" s="238"/>
      <c r="AB171" s="37" t="str">
        <f>IFERROR(VLOOKUP(B171,'Scheme Master'!$B$4:$C$79,2,FALSE),"")</f>
        <v/>
      </c>
      <c r="AK171" s="239"/>
      <c r="AL171" s="240"/>
      <c r="AM171" s="241"/>
      <c r="AN171" s="240"/>
    </row>
    <row r="172" ht="14.25" customHeight="1">
      <c r="B172" s="233"/>
      <c r="D172" s="234"/>
      <c r="H172" s="235"/>
      <c r="K172" s="236"/>
      <c r="L172" s="237"/>
      <c r="M172" s="233"/>
      <c r="N172" s="233"/>
      <c r="O172" s="233"/>
      <c r="P172" s="233"/>
      <c r="Q172" s="233"/>
      <c r="R172" s="233"/>
      <c r="S172" s="233"/>
      <c r="T172" s="237"/>
      <c r="U172" s="233"/>
      <c r="V172" s="238"/>
      <c r="W172" s="238"/>
      <c r="AB172" s="37" t="str">
        <f>IFERROR(VLOOKUP(B172,'Scheme Master'!$B$4:$C$79,2,FALSE),"")</f>
        <v/>
      </c>
      <c r="AK172" s="239"/>
      <c r="AL172" s="240"/>
      <c r="AM172" s="241"/>
      <c r="AN172" s="240"/>
    </row>
    <row r="173" ht="14.25" customHeight="1">
      <c r="B173" s="233"/>
      <c r="D173" s="234"/>
      <c r="H173" s="235"/>
      <c r="K173" s="236"/>
      <c r="L173" s="237"/>
      <c r="M173" s="233"/>
      <c r="N173" s="233"/>
      <c r="O173" s="233"/>
      <c r="P173" s="233"/>
      <c r="Q173" s="233"/>
      <c r="R173" s="233"/>
      <c r="S173" s="233"/>
      <c r="T173" s="237"/>
      <c r="U173" s="233"/>
      <c r="V173" s="238"/>
      <c r="W173" s="238"/>
      <c r="AB173" s="37" t="str">
        <f>IFERROR(VLOOKUP(B173,'Scheme Master'!$B$4:$C$79,2,FALSE),"")</f>
        <v/>
      </c>
      <c r="AK173" s="239"/>
      <c r="AL173" s="240"/>
      <c r="AM173" s="241"/>
      <c r="AN173" s="240"/>
    </row>
    <row r="174" ht="14.25" customHeight="1">
      <c r="B174" s="233"/>
      <c r="D174" s="234"/>
      <c r="H174" s="235"/>
      <c r="K174" s="236"/>
      <c r="L174" s="237"/>
      <c r="M174" s="233"/>
      <c r="N174" s="233"/>
      <c r="O174" s="233"/>
      <c r="P174" s="233"/>
      <c r="Q174" s="233"/>
      <c r="R174" s="233"/>
      <c r="S174" s="233"/>
      <c r="T174" s="237"/>
      <c r="U174" s="233"/>
      <c r="V174" s="238"/>
      <c r="W174" s="238"/>
      <c r="AB174" s="37" t="str">
        <f>IFERROR(VLOOKUP(B174,'Scheme Master'!$B$4:$C$79,2,FALSE),"")</f>
        <v/>
      </c>
      <c r="AK174" s="239"/>
      <c r="AL174" s="240"/>
      <c r="AM174" s="241"/>
      <c r="AN174" s="240"/>
    </row>
    <row r="175" ht="14.25" customHeight="1">
      <c r="B175" s="233"/>
      <c r="D175" s="234"/>
      <c r="H175" s="235"/>
      <c r="K175" s="236"/>
      <c r="L175" s="237"/>
      <c r="M175" s="233"/>
      <c r="N175" s="233"/>
      <c r="O175" s="233"/>
      <c r="P175" s="233"/>
      <c r="Q175" s="233"/>
      <c r="R175" s="233"/>
      <c r="S175" s="233"/>
      <c r="T175" s="237"/>
      <c r="U175" s="233"/>
      <c r="V175" s="238"/>
      <c r="W175" s="238"/>
      <c r="AB175" s="37" t="str">
        <f>IFERROR(VLOOKUP(B175,'Scheme Master'!$B$4:$C$79,2,FALSE),"")</f>
        <v/>
      </c>
      <c r="AK175" s="239"/>
      <c r="AL175" s="240"/>
      <c r="AM175" s="241"/>
      <c r="AN175" s="240"/>
    </row>
    <row r="176" ht="14.25" customHeight="1">
      <c r="B176" s="233"/>
      <c r="D176" s="234"/>
      <c r="H176" s="235"/>
      <c r="K176" s="236"/>
      <c r="L176" s="237"/>
      <c r="M176" s="233"/>
      <c r="N176" s="233"/>
      <c r="O176" s="233"/>
      <c r="P176" s="233"/>
      <c r="Q176" s="233"/>
      <c r="R176" s="233"/>
      <c r="S176" s="233"/>
      <c r="T176" s="237"/>
      <c r="U176" s="233"/>
      <c r="V176" s="238"/>
      <c r="W176" s="238"/>
      <c r="AB176" s="37" t="str">
        <f>IFERROR(VLOOKUP(B176,'Scheme Master'!$B$4:$C$79,2,FALSE),"")</f>
        <v/>
      </c>
      <c r="AK176" s="239"/>
      <c r="AL176" s="240"/>
      <c r="AM176" s="241"/>
      <c r="AN176" s="240"/>
    </row>
    <row r="177" ht="14.25" customHeight="1">
      <c r="B177" s="233"/>
      <c r="D177" s="234"/>
      <c r="H177" s="235"/>
      <c r="K177" s="236"/>
      <c r="L177" s="237"/>
      <c r="M177" s="233"/>
      <c r="N177" s="233"/>
      <c r="O177" s="233"/>
      <c r="P177" s="233"/>
      <c r="Q177" s="233"/>
      <c r="R177" s="233"/>
      <c r="S177" s="233"/>
      <c r="T177" s="237"/>
      <c r="U177" s="233"/>
      <c r="V177" s="238"/>
      <c r="W177" s="238"/>
      <c r="AB177" s="37" t="str">
        <f>IFERROR(VLOOKUP(B177,'Scheme Master'!$B$4:$C$79,2,FALSE),"")</f>
        <v/>
      </c>
      <c r="AK177" s="239"/>
      <c r="AL177" s="240"/>
      <c r="AM177" s="241"/>
      <c r="AN177" s="240"/>
    </row>
    <row r="178" ht="14.25" customHeight="1">
      <c r="B178" s="233"/>
      <c r="D178" s="234"/>
      <c r="H178" s="235"/>
      <c r="K178" s="236"/>
      <c r="L178" s="237"/>
      <c r="M178" s="233"/>
      <c r="N178" s="233"/>
      <c r="O178" s="233"/>
      <c r="P178" s="233"/>
      <c r="Q178" s="233"/>
      <c r="R178" s="233"/>
      <c r="S178" s="233"/>
      <c r="T178" s="237"/>
      <c r="U178" s="233"/>
      <c r="V178" s="238"/>
      <c r="W178" s="238"/>
      <c r="AB178" s="37" t="str">
        <f>IFERROR(VLOOKUP(B178,'Scheme Master'!$B$4:$C$79,2,FALSE),"")</f>
        <v/>
      </c>
      <c r="AK178" s="239"/>
      <c r="AL178" s="240"/>
      <c r="AM178" s="241"/>
      <c r="AN178" s="240"/>
    </row>
    <row r="179" ht="14.25" customHeight="1">
      <c r="B179" s="233"/>
      <c r="D179" s="234"/>
      <c r="H179" s="235"/>
      <c r="K179" s="236"/>
      <c r="L179" s="237"/>
      <c r="M179" s="233"/>
      <c r="N179" s="233"/>
      <c r="O179" s="233"/>
      <c r="P179" s="233"/>
      <c r="Q179" s="233"/>
      <c r="R179" s="233"/>
      <c r="S179" s="233"/>
      <c r="T179" s="237"/>
      <c r="U179" s="233"/>
      <c r="V179" s="238"/>
      <c r="W179" s="238"/>
      <c r="AB179" s="37" t="str">
        <f>IFERROR(VLOOKUP(B179,'Scheme Master'!$B$4:$C$79,2,FALSE),"")</f>
        <v/>
      </c>
      <c r="AK179" s="239"/>
      <c r="AL179" s="240"/>
      <c r="AM179" s="241"/>
      <c r="AN179" s="240"/>
    </row>
    <row r="180" ht="14.25" customHeight="1">
      <c r="B180" s="233"/>
      <c r="D180" s="234"/>
      <c r="H180" s="235"/>
      <c r="K180" s="236"/>
      <c r="L180" s="237"/>
      <c r="M180" s="233"/>
      <c r="N180" s="233"/>
      <c r="O180" s="233"/>
      <c r="P180" s="233"/>
      <c r="Q180" s="233"/>
      <c r="R180" s="233"/>
      <c r="S180" s="233"/>
      <c r="T180" s="237"/>
      <c r="U180" s="233"/>
      <c r="V180" s="238"/>
      <c r="W180" s="238"/>
      <c r="AB180" s="37" t="str">
        <f>IFERROR(VLOOKUP(B180,'Scheme Master'!$B$4:$C$79,2,FALSE),"")</f>
        <v/>
      </c>
      <c r="AK180" s="239"/>
      <c r="AL180" s="240"/>
      <c r="AM180" s="241"/>
      <c r="AN180" s="240"/>
    </row>
    <row r="181" ht="14.25" customHeight="1">
      <c r="B181" s="233"/>
      <c r="D181" s="234"/>
      <c r="H181" s="235"/>
      <c r="K181" s="236"/>
      <c r="L181" s="237"/>
      <c r="M181" s="233"/>
      <c r="N181" s="233"/>
      <c r="O181" s="233"/>
      <c r="P181" s="233"/>
      <c r="Q181" s="233"/>
      <c r="R181" s="233"/>
      <c r="S181" s="233"/>
      <c r="T181" s="237"/>
      <c r="U181" s="233"/>
      <c r="V181" s="238"/>
      <c r="W181" s="238"/>
      <c r="AB181" s="37" t="str">
        <f>IFERROR(VLOOKUP(B181,'Scheme Master'!$B$4:$C$79,2,FALSE),"")</f>
        <v/>
      </c>
      <c r="AK181" s="239"/>
      <c r="AL181" s="240"/>
      <c r="AM181" s="241"/>
      <c r="AN181" s="240"/>
    </row>
    <row r="182" ht="14.25" customHeight="1">
      <c r="B182" s="233"/>
      <c r="D182" s="234"/>
      <c r="H182" s="235"/>
      <c r="K182" s="236"/>
      <c r="L182" s="237"/>
      <c r="M182" s="233"/>
      <c r="N182" s="233"/>
      <c r="O182" s="233"/>
      <c r="P182" s="233"/>
      <c r="Q182" s="233"/>
      <c r="R182" s="233"/>
      <c r="S182" s="233"/>
      <c r="T182" s="237"/>
      <c r="U182" s="233"/>
      <c r="V182" s="238"/>
      <c r="W182" s="238"/>
      <c r="AB182" s="37" t="str">
        <f>IFERROR(VLOOKUP(B182,'Scheme Master'!$B$4:$C$79,2,FALSE),"")</f>
        <v/>
      </c>
      <c r="AK182" s="239"/>
      <c r="AL182" s="240"/>
      <c r="AM182" s="241"/>
      <c r="AN182" s="240"/>
    </row>
    <row r="183" ht="14.25" customHeight="1">
      <c r="B183" s="233"/>
      <c r="D183" s="234"/>
      <c r="H183" s="235"/>
      <c r="K183" s="236"/>
      <c r="L183" s="237"/>
      <c r="M183" s="233"/>
      <c r="N183" s="233"/>
      <c r="O183" s="233"/>
      <c r="P183" s="233"/>
      <c r="Q183" s="233"/>
      <c r="R183" s="233"/>
      <c r="S183" s="233"/>
      <c r="T183" s="237"/>
      <c r="U183" s="233"/>
      <c r="V183" s="238"/>
      <c r="W183" s="238"/>
      <c r="AB183" s="37" t="str">
        <f>IFERROR(VLOOKUP(B183,'Scheme Master'!$B$4:$C$79,2,FALSE),"")</f>
        <v/>
      </c>
      <c r="AK183" s="239"/>
      <c r="AL183" s="240"/>
      <c r="AM183" s="241"/>
      <c r="AN183" s="240"/>
    </row>
    <row r="184" ht="14.25" customHeight="1">
      <c r="B184" s="233"/>
      <c r="D184" s="234"/>
      <c r="H184" s="235"/>
      <c r="K184" s="236"/>
      <c r="L184" s="237"/>
      <c r="M184" s="233"/>
      <c r="N184" s="233"/>
      <c r="O184" s="233"/>
      <c r="P184" s="233"/>
      <c r="Q184" s="233"/>
      <c r="R184" s="233"/>
      <c r="S184" s="233"/>
      <c r="T184" s="237"/>
      <c r="U184" s="233"/>
      <c r="V184" s="238"/>
      <c r="W184" s="238"/>
      <c r="AB184" s="37" t="str">
        <f>IFERROR(VLOOKUP(B184,'Scheme Master'!$B$4:$C$79,2,FALSE),"")</f>
        <v/>
      </c>
      <c r="AK184" s="239"/>
      <c r="AL184" s="240"/>
      <c r="AM184" s="241"/>
      <c r="AN184" s="240"/>
    </row>
    <row r="185" ht="14.25" customHeight="1">
      <c r="B185" s="233"/>
      <c r="D185" s="234"/>
      <c r="H185" s="235"/>
      <c r="K185" s="236"/>
      <c r="L185" s="237"/>
      <c r="M185" s="233"/>
      <c r="N185" s="233"/>
      <c r="O185" s="233"/>
      <c r="P185" s="233"/>
      <c r="Q185" s="233"/>
      <c r="R185" s="233"/>
      <c r="S185" s="233"/>
      <c r="T185" s="237"/>
      <c r="U185" s="233"/>
      <c r="V185" s="238"/>
      <c r="W185" s="238"/>
      <c r="AB185" s="37" t="str">
        <f>IFERROR(VLOOKUP(B185,'Scheme Master'!$B$4:$C$79,2,FALSE),"")</f>
        <v/>
      </c>
      <c r="AK185" s="239"/>
      <c r="AL185" s="240"/>
      <c r="AM185" s="241"/>
      <c r="AN185" s="240"/>
    </row>
    <row r="186" ht="14.25" customHeight="1">
      <c r="B186" s="233"/>
      <c r="D186" s="234"/>
      <c r="H186" s="235"/>
      <c r="K186" s="236"/>
      <c r="L186" s="237"/>
      <c r="M186" s="233"/>
      <c r="N186" s="233"/>
      <c r="O186" s="233"/>
      <c r="P186" s="233"/>
      <c r="Q186" s="233"/>
      <c r="R186" s="233"/>
      <c r="S186" s="233"/>
      <c r="T186" s="237"/>
      <c r="U186" s="233"/>
      <c r="V186" s="238"/>
      <c r="W186" s="238"/>
      <c r="AB186" s="37" t="str">
        <f>IFERROR(VLOOKUP(B186,'Scheme Master'!$B$4:$C$79,2,FALSE),"")</f>
        <v/>
      </c>
      <c r="AK186" s="239"/>
      <c r="AL186" s="240"/>
      <c r="AM186" s="241"/>
      <c r="AN186" s="240"/>
    </row>
    <row r="187" ht="14.25" customHeight="1">
      <c r="B187" s="233"/>
      <c r="D187" s="234"/>
      <c r="H187" s="235"/>
      <c r="K187" s="236"/>
      <c r="L187" s="237"/>
      <c r="M187" s="233"/>
      <c r="N187" s="233"/>
      <c r="O187" s="233"/>
      <c r="P187" s="233"/>
      <c r="Q187" s="233"/>
      <c r="R187" s="233"/>
      <c r="S187" s="233"/>
      <c r="T187" s="237"/>
      <c r="U187" s="233"/>
      <c r="V187" s="238"/>
      <c r="W187" s="238"/>
      <c r="AB187" s="37" t="str">
        <f>IFERROR(VLOOKUP(B187,'Scheme Master'!$B$4:$C$79,2,FALSE),"")</f>
        <v/>
      </c>
      <c r="AK187" s="239"/>
      <c r="AL187" s="240"/>
      <c r="AM187" s="241"/>
      <c r="AN187" s="240"/>
    </row>
    <row r="188" ht="14.25" customHeight="1">
      <c r="B188" s="233"/>
      <c r="D188" s="234"/>
      <c r="H188" s="235"/>
      <c r="K188" s="236"/>
      <c r="L188" s="237"/>
      <c r="M188" s="233"/>
      <c r="N188" s="233"/>
      <c r="O188" s="233"/>
      <c r="P188" s="233"/>
      <c r="Q188" s="233"/>
      <c r="R188" s="233"/>
      <c r="S188" s="233"/>
      <c r="T188" s="237"/>
      <c r="U188" s="233"/>
      <c r="V188" s="238"/>
      <c r="W188" s="238"/>
      <c r="AB188" s="37" t="str">
        <f>IFERROR(VLOOKUP(B188,'Scheme Master'!$B$4:$C$79,2,FALSE),"")</f>
        <v/>
      </c>
      <c r="AK188" s="239"/>
      <c r="AL188" s="240"/>
      <c r="AM188" s="241"/>
      <c r="AN188" s="240"/>
    </row>
    <row r="189" ht="14.25" customHeight="1">
      <c r="B189" s="233"/>
      <c r="D189" s="234"/>
      <c r="H189" s="235"/>
      <c r="K189" s="236"/>
      <c r="L189" s="237"/>
      <c r="M189" s="233"/>
      <c r="N189" s="233"/>
      <c r="O189" s="233"/>
      <c r="P189" s="233"/>
      <c r="Q189" s="233"/>
      <c r="R189" s="233"/>
      <c r="S189" s="233"/>
      <c r="T189" s="237"/>
      <c r="U189" s="233"/>
      <c r="V189" s="238"/>
      <c r="W189" s="238"/>
      <c r="AB189" s="37" t="str">
        <f>IFERROR(VLOOKUP(B189,'Scheme Master'!$B$4:$C$79,2,FALSE),"")</f>
        <v/>
      </c>
      <c r="AK189" s="239"/>
      <c r="AL189" s="240"/>
      <c r="AM189" s="241"/>
      <c r="AN189" s="240"/>
    </row>
    <row r="190" ht="14.25" customHeight="1">
      <c r="B190" s="233"/>
      <c r="D190" s="234"/>
      <c r="H190" s="235"/>
      <c r="K190" s="236"/>
      <c r="L190" s="237"/>
      <c r="M190" s="233"/>
      <c r="N190" s="233"/>
      <c r="O190" s="233"/>
      <c r="P190" s="233"/>
      <c r="Q190" s="233"/>
      <c r="R190" s="233"/>
      <c r="S190" s="233"/>
      <c r="T190" s="237"/>
      <c r="U190" s="233"/>
      <c r="V190" s="238"/>
      <c r="W190" s="238"/>
      <c r="AB190" s="37" t="str">
        <f>IFERROR(VLOOKUP(B190,'Scheme Master'!$B$4:$C$79,2,FALSE),"")</f>
        <v/>
      </c>
      <c r="AK190" s="239"/>
      <c r="AL190" s="240"/>
      <c r="AM190" s="241"/>
      <c r="AN190" s="240"/>
    </row>
    <row r="191" ht="14.25" customHeight="1">
      <c r="B191" s="233"/>
      <c r="D191" s="234"/>
      <c r="H191" s="235"/>
      <c r="K191" s="236"/>
      <c r="L191" s="237"/>
      <c r="M191" s="233"/>
      <c r="N191" s="233"/>
      <c r="O191" s="233"/>
      <c r="P191" s="233"/>
      <c r="Q191" s="233"/>
      <c r="R191" s="233"/>
      <c r="S191" s="233"/>
      <c r="T191" s="237"/>
      <c r="U191" s="233"/>
      <c r="V191" s="238"/>
      <c r="W191" s="238"/>
      <c r="AB191" s="37" t="str">
        <f>IFERROR(VLOOKUP(B191,'Scheme Master'!$B$4:$C$79,2,FALSE),"")</f>
        <v/>
      </c>
      <c r="AK191" s="239"/>
      <c r="AL191" s="240"/>
      <c r="AM191" s="241"/>
      <c r="AN191" s="240"/>
    </row>
    <row r="192" ht="14.25" customHeight="1">
      <c r="B192" s="233"/>
      <c r="D192" s="234"/>
      <c r="H192" s="235"/>
      <c r="K192" s="236"/>
      <c r="L192" s="237"/>
      <c r="M192" s="233"/>
      <c r="N192" s="233"/>
      <c r="O192" s="233"/>
      <c r="P192" s="233"/>
      <c r="Q192" s="233"/>
      <c r="R192" s="233"/>
      <c r="S192" s="233"/>
      <c r="T192" s="237"/>
      <c r="U192" s="233"/>
      <c r="V192" s="238"/>
      <c r="W192" s="238"/>
      <c r="AB192" s="37" t="str">
        <f>IFERROR(VLOOKUP(B192,'Scheme Master'!$B$4:$C$79,2,FALSE),"")</f>
        <v/>
      </c>
      <c r="AK192" s="239"/>
      <c r="AL192" s="240"/>
      <c r="AM192" s="241"/>
      <c r="AN192" s="240"/>
    </row>
    <row r="193" ht="14.25" customHeight="1">
      <c r="B193" s="233"/>
      <c r="D193" s="234"/>
      <c r="H193" s="235"/>
      <c r="K193" s="236"/>
      <c r="L193" s="237"/>
      <c r="M193" s="233"/>
      <c r="N193" s="233"/>
      <c r="O193" s="233"/>
      <c r="P193" s="233"/>
      <c r="Q193" s="233"/>
      <c r="R193" s="233"/>
      <c r="S193" s="233"/>
      <c r="T193" s="237"/>
      <c r="U193" s="233"/>
      <c r="V193" s="238"/>
      <c r="W193" s="238"/>
      <c r="AB193" s="37" t="str">
        <f>IFERROR(VLOOKUP(B193,'Scheme Master'!$B$4:$C$79,2,FALSE),"")</f>
        <v/>
      </c>
      <c r="AK193" s="239"/>
      <c r="AL193" s="240"/>
      <c r="AM193" s="241"/>
      <c r="AN193" s="240"/>
    </row>
    <row r="194" ht="14.25" customHeight="1">
      <c r="B194" s="233"/>
      <c r="D194" s="234"/>
      <c r="H194" s="235"/>
      <c r="K194" s="236"/>
      <c r="L194" s="237"/>
      <c r="M194" s="233"/>
      <c r="N194" s="233"/>
      <c r="O194" s="233"/>
      <c r="P194" s="233"/>
      <c r="Q194" s="233"/>
      <c r="R194" s="233"/>
      <c r="S194" s="233"/>
      <c r="T194" s="237"/>
      <c r="U194" s="233"/>
      <c r="V194" s="238"/>
      <c r="W194" s="238"/>
      <c r="AB194" s="37" t="str">
        <f>IFERROR(VLOOKUP(B194,'Scheme Master'!$B$4:$C$79,2,FALSE),"")</f>
        <v/>
      </c>
      <c r="AK194" s="239"/>
      <c r="AL194" s="240"/>
      <c r="AM194" s="241"/>
      <c r="AN194" s="240"/>
    </row>
    <row r="195" ht="14.25" customHeight="1">
      <c r="B195" s="233"/>
      <c r="D195" s="234"/>
      <c r="H195" s="235"/>
      <c r="K195" s="236"/>
      <c r="L195" s="237"/>
      <c r="M195" s="233"/>
      <c r="N195" s="233"/>
      <c r="O195" s="233"/>
      <c r="P195" s="233"/>
      <c r="Q195" s="233"/>
      <c r="R195" s="233"/>
      <c r="S195" s="233"/>
      <c r="T195" s="237"/>
      <c r="U195" s="233"/>
      <c r="V195" s="238"/>
      <c r="W195" s="238"/>
      <c r="AB195" s="37" t="str">
        <f>IFERROR(VLOOKUP(B195,'Scheme Master'!$B$4:$C$79,2,FALSE),"")</f>
        <v/>
      </c>
      <c r="AK195" s="239"/>
      <c r="AL195" s="240"/>
      <c r="AM195" s="241"/>
      <c r="AN195" s="240"/>
    </row>
    <row r="196" ht="14.25" customHeight="1">
      <c r="B196" s="233"/>
      <c r="D196" s="234"/>
      <c r="H196" s="235"/>
      <c r="K196" s="236"/>
      <c r="L196" s="237"/>
      <c r="M196" s="233"/>
      <c r="N196" s="233"/>
      <c r="O196" s="233"/>
      <c r="P196" s="233"/>
      <c r="Q196" s="233"/>
      <c r="R196" s="233"/>
      <c r="S196" s="233"/>
      <c r="T196" s="237"/>
      <c r="U196" s="233"/>
      <c r="V196" s="238"/>
      <c r="W196" s="238"/>
      <c r="AB196" s="37" t="str">
        <f>IFERROR(VLOOKUP(B196,'Scheme Master'!$B$4:$C$79,2,FALSE),"")</f>
        <v/>
      </c>
      <c r="AK196" s="239"/>
      <c r="AL196" s="240"/>
      <c r="AM196" s="241"/>
      <c r="AN196" s="240"/>
    </row>
    <row r="197" ht="14.25" customHeight="1">
      <c r="B197" s="233"/>
      <c r="D197" s="234"/>
      <c r="H197" s="235"/>
      <c r="K197" s="236"/>
      <c r="L197" s="237"/>
      <c r="M197" s="233"/>
      <c r="N197" s="233"/>
      <c r="O197" s="233"/>
      <c r="P197" s="233"/>
      <c r="Q197" s="233"/>
      <c r="R197" s="233"/>
      <c r="S197" s="233"/>
      <c r="T197" s="237"/>
      <c r="U197" s="233"/>
      <c r="V197" s="238"/>
      <c r="W197" s="238"/>
      <c r="AB197" s="37" t="str">
        <f>IFERROR(VLOOKUP(B197,'Scheme Master'!$B$4:$C$79,2,FALSE),"")</f>
        <v/>
      </c>
      <c r="AK197" s="239"/>
      <c r="AL197" s="240"/>
      <c r="AM197" s="241"/>
      <c r="AN197" s="240"/>
    </row>
    <row r="198" ht="14.25" customHeight="1">
      <c r="B198" s="233"/>
      <c r="D198" s="234"/>
      <c r="H198" s="235"/>
      <c r="K198" s="236"/>
      <c r="L198" s="237"/>
      <c r="M198" s="233"/>
      <c r="N198" s="233"/>
      <c r="O198" s="233"/>
      <c r="P198" s="233"/>
      <c r="Q198" s="233"/>
      <c r="R198" s="233"/>
      <c r="S198" s="233"/>
      <c r="T198" s="237"/>
      <c r="U198" s="233"/>
      <c r="V198" s="238"/>
      <c r="W198" s="238"/>
      <c r="AB198" s="37" t="str">
        <f>IFERROR(VLOOKUP(B198,'Scheme Master'!$B$4:$C$79,2,FALSE),"")</f>
        <v/>
      </c>
      <c r="AK198" s="239"/>
      <c r="AL198" s="240"/>
      <c r="AM198" s="241"/>
      <c r="AN198" s="240"/>
    </row>
    <row r="199" ht="14.25" customHeight="1">
      <c r="B199" s="233"/>
      <c r="D199" s="234"/>
      <c r="H199" s="235"/>
      <c r="K199" s="236"/>
      <c r="L199" s="237"/>
      <c r="M199" s="233"/>
      <c r="N199" s="233"/>
      <c r="O199" s="233"/>
      <c r="P199" s="233"/>
      <c r="Q199" s="233"/>
      <c r="R199" s="233"/>
      <c r="S199" s="233"/>
      <c r="T199" s="237"/>
      <c r="U199" s="233"/>
      <c r="V199" s="238"/>
      <c r="W199" s="238"/>
      <c r="AB199" s="37" t="str">
        <f>IFERROR(VLOOKUP(B199,'Scheme Master'!$B$4:$C$79,2,FALSE),"")</f>
        <v/>
      </c>
      <c r="AK199" s="239"/>
      <c r="AL199" s="240"/>
      <c r="AM199" s="241"/>
      <c r="AN199" s="240"/>
    </row>
    <row r="200" ht="14.25" customHeight="1">
      <c r="B200" s="233"/>
      <c r="D200" s="234"/>
      <c r="H200" s="235"/>
      <c r="K200" s="236"/>
      <c r="L200" s="237"/>
      <c r="M200" s="233"/>
      <c r="N200" s="233"/>
      <c r="O200" s="233"/>
      <c r="P200" s="233"/>
      <c r="Q200" s="233"/>
      <c r="R200" s="233"/>
      <c r="S200" s="233"/>
      <c r="T200" s="237"/>
      <c r="U200" s="233"/>
      <c r="V200" s="238"/>
      <c r="W200" s="238"/>
      <c r="AB200" s="37" t="str">
        <f>IFERROR(VLOOKUP(B200,'Scheme Master'!$B$4:$C$79,2,FALSE),"")</f>
        <v/>
      </c>
      <c r="AK200" s="239"/>
      <c r="AL200" s="240"/>
      <c r="AM200" s="241"/>
      <c r="AN200" s="240"/>
    </row>
    <row r="201" ht="14.25" customHeight="1">
      <c r="B201" s="233"/>
      <c r="D201" s="234"/>
      <c r="H201" s="235"/>
      <c r="K201" s="236"/>
      <c r="L201" s="237"/>
      <c r="M201" s="233"/>
      <c r="N201" s="233"/>
      <c r="O201" s="233"/>
      <c r="P201" s="233"/>
      <c r="Q201" s="233"/>
      <c r="R201" s="233"/>
      <c r="S201" s="233"/>
      <c r="T201" s="237"/>
      <c r="U201" s="233"/>
      <c r="V201" s="238"/>
      <c r="W201" s="238"/>
      <c r="AB201" s="37" t="str">
        <f>IFERROR(VLOOKUP(B201,'Scheme Master'!$B$4:$C$79,2,FALSE),"")</f>
        <v/>
      </c>
      <c r="AK201" s="239"/>
      <c r="AL201" s="240"/>
      <c r="AM201" s="241"/>
      <c r="AN201" s="240"/>
    </row>
    <row r="202" ht="14.25" customHeight="1">
      <c r="B202" s="233"/>
      <c r="D202" s="234"/>
      <c r="H202" s="235"/>
      <c r="K202" s="236"/>
      <c r="L202" s="237"/>
      <c r="M202" s="233"/>
      <c r="N202" s="233"/>
      <c r="O202" s="233"/>
      <c r="P202" s="233"/>
      <c r="Q202" s="233"/>
      <c r="R202" s="233"/>
      <c r="S202" s="233"/>
      <c r="T202" s="237"/>
      <c r="U202" s="233"/>
      <c r="V202" s="238"/>
      <c r="W202" s="238"/>
      <c r="AB202" s="37" t="str">
        <f>IFERROR(VLOOKUP(B202,'Scheme Master'!$B$4:$C$79,2,FALSE),"")</f>
        <v/>
      </c>
      <c r="AK202" s="239"/>
      <c r="AL202" s="240"/>
      <c r="AM202" s="241"/>
      <c r="AN202" s="240"/>
    </row>
    <row r="203" ht="14.25" customHeight="1">
      <c r="B203" s="233"/>
      <c r="D203" s="234"/>
      <c r="H203" s="235"/>
      <c r="K203" s="236"/>
      <c r="L203" s="237"/>
      <c r="M203" s="233"/>
      <c r="N203" s="233"/>
      <c r="O203" s="233"/>
      <c r="P203" s="233"/>
      <c r="Q203" s="233"/>
      <c r="R203" s="233"/>
      <c r="S203" s="233"/>
      <c r="T203" s="237"/>
      <c r="U203" s="233"/>
      <c r="V203" s="238"/>
      <c r="W203" s="238"/>
      <c r="AB203" s="37" t="str">
        <f>IFERROR(VLOOKUP(B203,'Scheme Master'!$B$4:$C$79,2,FALSE),"")</f>
        <v/>
      </c>
      <c r="AK203" s="239"/>
      <c r="AL203" s="240"/>
      <c r="AM203" s="241"/>
      <c r="AN203" s="240"/>
    </row>
    <row r="204" ht="14.25" customHeight="1">
      <c r="B204" s="233"/>
      <c r="D204" s="234"/>
      <c r="H204" s="235"/>
      <c r="K204" s="236"/>
      <c r="L204" s="237"/>
      <c r="M204" s="233"/>
      <c r="N204" s="233"/>
      <c r="O204" s="233"/>
      <c r="P204" s="233"/>
      <c r="Q204" s="233"/>
      <c r="R204" s="233"/>
      <c r="S204" s="233"/>
      <c r="T204" s="237"/>
      <c r="U204" s="233"/>
      <c r="V204" s="238"/>
      <c r="W204" s="238"/>
      <c r="AB204" s="37" t="str">
        <f>IFERROR(VLOOKUP(B204,'Scheme Master'!$B$4:$C$79,2,FALSE),"")</f>
        <v/>
      </c>
      <c r="AK204" s="239"/>
      <c r="AL204" s="240"/>
      <c r="AM204" s="241"/>
      <c r="AN204" s="240"/>
    </row>
    <row r="205" ht="14.25" customHeight="1">
      <c r="B205" s="233"/>
      <c r="D205" s="234"/>
      <c r="H205" s="235"/>
      <c r="K205" s="236"/>
      <c r="L205" s="237"/>
      <c r="M205" s="233"/>
      <c r="N205" s="233"/>
      <c r="O205" s="233"/>
      <c r="P205" s="233"/>
      <c r="Q205" s="233"/>
      <c r="R205" s="233"/>
      <c r="S205" s="233"/>
      <c r="T205" s="237"/>
      <c r="U205" s="233"/>
      <c r="V205" s="238"/>
      <c r="W205" s="238"/>
      <c r="AB205" s="37" t="str">
        <f>IFERROR(VLOOKUP(B205,'Scheme Master'!$B$4:$C$79,2,FALSE),"")</f>
        <v/>
      </c>
      <c r="AK205" s="239"/>
      <c r="AL205" s="240"/>
      <c r="AM205" s="241"/>
      <c r="AN205" s="240"/>
    </row>
    <row r="206" ht="14.25" customHeight="1">
      <c r="B206" s="233"/>
      <c r="D206" s="234"/>
      <c r="H206" s="235"/>
      <c r="K206" s="236"/>
      <c r="L206" s="237"/>
      <c r="M206" s="233"/>
      <c r="N206" s="233"/>
      <c r="O206" s="233"/>
      <c r="P206" s="233"/>
      <c r="Q206" s="233"/>
      <c r="R206" s="233"/>
      <c r="S206" s="233"/>
      <c r="T206" s="237"/>
      <c r="U206" s="233"/>
      <c r="V206" s="238"/>
      <c r="W206" s="238"/>
      <c r="AB206" s="37" t="str">
        <f>IFERROR(VLOOKUP(B206,'Scheme Master'!$B$4:$C$79,2,FALSE),"")</f>
        <v/>
      </c>
      <c r="AK206" s="239"/>
      <c r="AL206" s="240"/>
      <c r="AM206" s="241"/>
      <c r="AN206" s="240"/>
    </row>
    <row r="207" ht="14.25" customHeight="1">
      <c r="B207" s="233"/>
      <c r="D207" s="234"/>
      <c r="H207" s="235"/>
      <c r="K207" s="236"/>
      <c r="L207" s="237"/>
      <c r="M207" s="233"/>
      <c r="N207" s="233"/>
      <c r="O207" s="233"/>
      <c r="P207" s="233"/>
      <c r="Q207" s="233"/>
      <c r="R207" s="233"/>
      <c r="S207" s="233"/>
      <c r="T207" s="237"/>
      <c r="U207" s="233"/>
      <c r="V207" s="238"/>
      <c r="W207" s="238"/>
      <c r="AB207" s="37" t="str">
        <f>IFERROR(VLOOKUP(B207,'Scheme Master'!$B$4:$C$79,2,FALSE),"")</f>
        <v/>
      </c>
      <c r="AK207" s="239"/>
      <c r="AL207" s="240"/>
      <c r="AM207" s="241"/>
      <c r="AN207" s="240"/>
    </row>
    <row r="208" ht="14.25" customHeight="1">
      <c r="B208" s="233"/>
      <c r="D208" s="234"/>
      <c r="H208" s="235"/>
      <c r="K208" s="236"/>
      <c r="L208" s="237"/>
      <c r="M208" s="233"/>
      <c r="N208" s="233"/>
      <c r="O208" s="233"/>
      <c r="P208" s="233"/>
      <c r="Q208" s="233"/>
      <c r="R208" s="233"/>
      <c r="S208" s="233"/>
      <c r="T208" s="237"/>
      <c r="U208" s="233"/>
      <c r="V208" s="238"/>
      <c r="W208" s="238"/>
      <c r="AB208" s="37" t="str">
        <f>IFERROR(VLOOKUP(B208,'Scheme Master'!$B$4:$C$79,2,FALSE),"")</f>
        <v/>
      </c>
      <c r="AK208" s="239"/>
      <c r="AL208" s="240"/>
      <c r="AM208" s="241"/>
      <c r="AN208" s="240"/>
    </row>
    <row r="209" ht="14.25" customHeight="1">
      <c r="B209" s="233"/>
      <c r="D209" s="234"/>
      <c r="H209" s="235"/>
      <c r="K209" s="236"/>
      <c r="L209" s="237"/>
      <c r="M209" s="233"/>
      <c r="N209" s="233"/>
      <c r="O209" s="233"/>
      <c r="P209" s="233"/>
      <c r="Q209" s="233"/>
      <c r="R209" s="233"/>
      <c r="S209" s="233"/>
      <c r="T209" s="237"/>
      <c r="U209" s="233"/>
      <c r="V209" s="238"/>
      <c r="W209" s="238"/>
      <c r="AB209" s="37" t="str">
        <f>IFERROR(VLOOKUP(B209,'Scheme Master'!$B$4:$C$79,2,FALSE),"")</f>
        <v/>
      </c>
      <c r="AK209" s="239"/>
      <c r="AL209" s="240"/>
      <c r="AM209" s="241"/>
      <c r="AN209" s="240"/>
    </row>
    <row r="210" ht="14.25" customHeight="1">
      <c r="B210" s="233"/>
      <c r="D210" s="234"/>
      <c r="H210" s="235"/>
      <c r="K210" s="236"/>
      <c r="L210" s="237"/>
      <c r="M210" s="233"/>
      <c r="N210" s="233"/>
      <c r="O210" s="233"/>
      <c r="P210" s="233"/>
      <c r="Q210" s="233"/>
      <c r="R210" s="233"/>
      <c r="S210" s="233"/>
      <c r="T210" s="237"/>
      <c r="U210" s="233"/>
      <c r="V210" s="238"/>
      <c r="W210" s="238"/>
      <c r="AB210" s="37" t="str">
        <f>IFERROR(VLOOKUP(B210,'Scheme Master'!$B$4:$C$79,2,FALSE),"")</f>
        <v/>
      </c>
      <c r="AK210" s="239"/>
      <c r="AL210" s="240"/>
      <c r="AM210" s="241"/>
      <c r="AN210" s="240"/>
    </row>
    <row r="211" ht="14.25" customHeight="1">
      <c r="B211" s="233"/>
      <c r="D211" s="234"/>
      <c r="H211" s="235"/>
      <c r="K211" s="236"/>
      <c r="L211" s="237"/>
      <c r="M211" s="233"/>
      <c r="N211" s="233"/>
      <c r="O211" s="233"/>
      <c r="P211" s="233"/>
      <c r="Q211" s="233"/>
      <c r="R211" s="233"/>
      <c r="S211" s="233"/>
      <c r="T211" s="237"/>
      <c r="U211" s="233"/>
      <c r="V211" s="238"/>
      <c r="W211" s="238"/>
      <c r="AB211" s="37" t="str">
        <f>IFERROR(VLOOKUP(B211,'Scheme Master'!$B$4:$C$79,2,FALSE),"")</f>
        <v/>
      </c>
      <c r="AK211" s="239"/>
      <c r="AL211" s="240"/>
      <c r="AM211" s="241"/>
      <c r="AN211" s="240"/>
    </row>
    <row r="212" ht="14.25" customHeight="1">
      <c r="B212" s="233"/>
      <c r="D212" s="234"/>
      <c r="H212" s="235"/>
      <c r="K212" s="236"/>
      <c r="L212" s="237"/>
      <c r="M212" s="233"/>
      <c r="N212" s="233"/>
      <c r="O212" s="233"/>
      <c r="P212" s="233"/>
      <c r="Q212" s="233"/>
      <c r="R212" s="233"/>
      <c r="S212" s="233"/>
      <c r="T212" s="237"/>
      <c r="U212" s="233"/>
      <c r="V212" s="238"/>
      <c r="W212" s="238"/>
      <c r="AB212" s="37" t="str">
        <f>IFERROR(VLOOKUP(B212,'Scheme Master'!$B$4:$C$79,2,FALSE),"")</f>
        <v/>
      </c>
      <c r="AK212" s="239"/>
      <c r="AL212" s="240"/>
      <c r="AM212" s="241"/>
      <c r="AN212" s="240"/>
    </row>
    <row r="213" ht="14.25" customHeight="1">
      <c r="B213" s="233"/>
      <c r="D213" s="234"/>
      <c r="H213" s="235"/>
      <c r="K213" s="236"/>
      <c r="L213" s="237"/>
      <c r="M213" s="233"/>
      <c r="N213" s="233"/>
      <c r="O213" s="233"/>
      <c r="P213" s="233"/>
      <c r="Q213" s="233"/>
      <c r="R213" s="233"/>
      <c r="S213" s="233"/>
      <c r="T213" s="237"/>
      <c r="U213" s="233"/>
      <c r="V213" s="238"/>
      <c r="W213" s="238"/>
      <c r="AB213" s="37" t="str">
        <f>IFERROR(VLOOKUP(B213,'Scheme Master'!$B$4:$C$79,2,FALSE),"")</f>
        <v/>
      </c>
      <c r="AK213" s="239"/>
      <c r="AL213" s="240"/>
      <c r="AM213" s="241"/>
      <c r="AN213" s="240"/>
    </row>
    <row r="214" ht="14.25" customHeight="1">
      <c r="B214" s="233"/>
      <c r="D214" s="234"/>
      <c r="H214" s="235"/>
      <c r="K214" s="236"/>
      <c r="L214" s="237"/>
      <c r="M214" s="233"/>
      <c r="N214" s="233"/>
      <c r="O214" s="233"/>
      <c r="P214" s="233"/>
      <c r="Q214" s="233"/>
      <c r="R214" s="233"/>
      <c r="S214" s="233"/>
      <c r="T214" s="237"/>
      <c r="U214" s="233"/>
      <c r="V214" s="238"/>
      <c r="W214" s="238"/>
      <c r="AB214" s="37" t="str">
        <f>IFERROR(VLOOKUP(B214,'Scheme Master'!$B$4:$C$79,2,FALSE),"")</f>
        <v/>
      </c>
      <c r="AK214" s="239"/>
      <c r="AL214" s="240"/>
      <c r="AM214" s="241"/>
      <c r="AN214" s="240"/>
    </row>
    <row r="215" ht="14.25" customHeight="1">
      <c r="B215" s="233"/>
      <c r="D215" s="234"/>
      <c r="H215" s="235"/>
      <c r="K215" s="236"/>
      <c r="L215" s="237"/>
      <c r="M215" s="233"/>
      <c r="N215" s="233"/>
      <c r="O215" s="233"/>
      <c r="P215" s="233"/>
      <c r="Q215" s="233"/>
      <c r="R215" s="233"/>
      <c r="S215" s="233"/>
      <c r="T215" s="237"/>
      <c r="U215" s="233"/>
      <c r="V215" s="238"/>
      <c r="W215" s="238"/>
      <c r="AB215" s="37" t="str">
        <f>IFERROR(VLOOKUP(B215,'Scheme Master'!$B$4:$C$79,2,FALSE),"")</f>
        <v/>
      </c>
      <c r="AK215" s="239"/>
      <c r="AL215" s="240"/>
      <c r="AM215" s="241"/>
      <c r="AN215" s="240"/>
    </row>
    <row r="216" ht="14.25" customHeight="1">
      <c r="B216" s="233"/>
      <c r="D216" s="234"/>
      <c r="H216" s="235"/>
      <c r="K216" s="236"/>
      <c r="L216" s="237"/>
      <c r="M216" s="233"/>
      <c r="N216" s="233"/>
      <c r="O216" s="233"/>
      <c r="P216" s="233"/>
      <c r="Q216" s="233"/>
      <c r="R216" s="233"/>
      <c r="S216" s="233"/>
      <c r="T216" s="237"/>
      <c r="U216" s="233"/>
      <c r="V216" s="238"/>
      <c r="W216" s="238"/>
      <c r="AB216" s="37" t="str">
        <f>IFERROR(VLOOKUP(B216,'Scheme Master'!$B$4:$C$79,2,FALSE),"")</f>
        <v/>
      </c>
      <c r="AK216" s="239"/>
      <c r="AL216" s="240"/>
      <c r="AM216" s="241"/>
      <c r="AN216" s="240"/>
    </row>
    <row r="217" ht="14.25" customHeight="1">
      <c r="B217" s="233"/>
      <c r="D217" s="234"/>
      <c r="H217" s="235"/>
      <c r="K217" s="236"/>
      <c r="L217" s="237"/>
      <c r="M217" s="233"/>
      <c r="N217" s="233"/>
      <c r="O217" s="233"/>
      <c r="P217" s="233"/>
      <c r="Q217" s="233"/>
      <c r="R217" s="233"/>
      <c r="S217" s="233"/>
      <c r="T217" s="237"/>
      <c r="U217" s="233"/>
      <c r="V217" s="238"/>
      <c r="W217" s="238"/>
      <c r="AB217" s="37" t="str">
        <f>IFERROR(VLOOKUP(B217,'Scheme Master'!$B$4:$C$79,2,FALSE),"")</f>
        <v/>
      </c>
      <c r="AK217" s="239"/>
      <c r="AL217" s="240"/>
      <c r="AM217" s="241"/>
      <c r="AN217" s="240"/>
    </row>
    <row r="218" ht="14.25" customHeight="1">
      <c r="B218" s="233"/>
      <c r="D218" s="234"/>
      <c r="H218" s="235"/>
      <c r="K218" s="236"/>
      <c r="L218" s="237"/>
      <c r="M218" s="233"/>
      <c r="N218" s="233"/>
      <c r="O218" s="233"/>
      <c r="P218" s="233"/>
      <c r="Q218" s="233"/>
      <c r="R218" s="233"/>
      <c r="S218" s="233"/>
      <c r="T218" s="237"/>
      <c r="U218" s="233"/>
      <c r="V218" s="238"/>
      <c r="W218" s="238"/>
      <c r="AB218" s="37" t="str">
        <f>IFERROR(VLOOKUP(B218,'Scheme Master'!$B$4:$C$79,2,FALSE),"")</f>
        <v/>
      </c>
      <c r="AK218" s="239"/>
      <c r="AL218" s="240"/>
      <c r="AM218" s="241"/>
      <c r="AN218" s="240"/>
    </row>
    <row r="219" ht="14.25" customHeight="1">
      <c r="B219" s="233"/>
      <c r="D219" s="234"/>
      <c r="H219" s="235"/>
      <c r="K219" s="236"/>
      <c r="L219" s="237"/>
      <c r="M219" s="233"/>
      <c r="N219" s="233"/>
      <c r="O219" s="233"/>
      <c r="P219" s="233"/>
      <c r="Q219" s="233"/>
      <c r="R219" s="233"/>
      <c r="S219" s="233"/>
      <c r="T219" s="237"/>
      <c r="U219" s="233"/>
      <c r="V219" s="238"/>
      <c r="W219" s="238"/>
      <c r="AK219" s="239"/>
      <c r="AL219" s="240"/>
      <c r="AM219" s="241"/>
      <c r="AN219" s="240"/>
    </row>
    <row r="220" ht="14.25" customHeight="1">
      <c r="B220" s="233"/>
      <c r="D220" s="234"/>
      <c r="H220" s="235"/>
      <c r="K220" s="236"/>
      <c r="L220" s="237"/>
      <c r="M220" s="233"/>
      <c r="N220" s="233"/>
      <c r="O220" s="233"/>
      <c r="P220" s="233"/>
      <c r="Q220" s="233"/>
      <c r="R220" s="233"/>
      <c r="S220" s="233"/>
      <c r="T220" s="237"/>
      <c r="U220" s="233"/>
      <c r="V220" s="238"/>
      <c r="W220" s="238"/>
      <c r="AK220" s="239"/>
      <c r="AL220" s="240"/>
      <c r="AM220" s="241"/>
      <c r="AN220" s="240"/>
    </row>
    <row r="221" ht="14.25" customHeight="1">
      <c r="B221" s="233"/>
      <c r="D221" s="234"/>
      <c r="H221" s="235"/>
      <c r="K221" s="236"/>
      <c r="L221" s="237"/>
      <c r="M221" s="233"/>
      <c r="N221" s="233"/>
      <c r="O221" s="233"/>
      <c r="P221" s="233"/>
      <c r="Q221" s="233"/>
      <c r="R221" s="233"/>
      <c r="S221" s="233"/>
      <c r="T221" s="237"/>
      <c r="U221" s="233"/>
      <c r="V221" s="238"/>
      <c r="W221" s="238"/>
      <c r="AK221" s="242"/>
      <c r="AM221" s="236"/>
    </row>
    <row r="222" ht="14.25" customHeight="1">
      <c r="B222" s="233"/>
      <c r="D222" s="234"/>
      <c r="H222" s="235"/>
      <c r="K222" s="236"/>
      <c r="L222" s="237"/>
      <c r="M222" s="233"/>
      <c r="N222" s="233"/>
      <c r="O222" s="233"/>
      <c r="P222" s="233"/>
      <c r="Q222" s="233"/>
      <c r="R222" s="233"/>
      <c r="S222" s="233"/>
      <c r="T222" s="237"/>
      <c r="U222" s="233"/>
      <c r="V222" s="238"/>
      <c r="W222" s="238"/>
      <c r="AK222" s="242"/>
      <c r="AM222" s="236"/>
    </row>
    <row r="223" ht="14.25" customHeight="1">
      <c r="B223" s="233"/>
      <c r="D223" s="234"/>
      <c r="H223" s="235"/>
      <c r="K223" s="236"/>
      <c r="L223" s="237"/>
      <c r="M223" s="233"/>
      <c r="N223" s="233"/>
      <c r="O223" s="233"/>
      <c r="P223" s="233"/>
      <c r="Q223" s="233"/>
      <c r="R223" s="233"/>
      <c r="S223" s="233"/>
      <c r="T223" s="237"/>
      <c r="U223" s="233"/>
      <c r="V223" s="238"/>
      <c r="W223" s="238"/>
      <c r="AK223" s="242"/>
      <c r="AM223" s="236"/>
    </row>
    <row r="224" ht="14.25" customHeight="1">
      <c r="B224" s="233"/>
      <c r="D224" s="234"/>
      <c r="H224" s="235"/>
      <c r="K224" s="236"/>
      <c r="L224" s="237"/>
      <c r="M224" s="233"/>
      <c r="N224" s="233"/>
      <c r="O224" s="233"/>
      <c r="P224" s="233"/>
      <c r="Q224" s="233"/>
      <c r="R224" s="233"/>
      <c r="S224" s="233"/>
      <c r="T224" s="237"/>
      <c r="U224" s="233"/>
      <c r="V224" s="238"/>
      <c r="W224" s="238"/>
      <c r="AK224" s="242"/>
      <c r="AM224" s="236"/>
    </row>
    <row r="225" ht="14.25" customHeight="1">
      <c r="B225" s="233"/>
      <c r="D225" s="234"/>
      <c r="H225" s="235"/>
      <c r="K225" s="236"/>
      <c r="L225" s="237"/>
      <c r="M225" s="233"/>
      <c r="N225" s="233"/>
      <c r="O225" s="233"/>
      <c r="P225" s="233"/>
      <c r="Q225" s="233"/>
      <c r="R225" s="233"/>
      <c r="S225" s="233"/>
      <c r="T225" s="237"/>
      <c r="U225" s="233"/>
      <c r="V225" s="238"/>
      <c r="W225" s="238"/>
      <c r="AK225" s="242"/>
      <c r="AM225" s="236"/>
    </row>
    <row r="226" ht="14.25" customHeight="1">
      <c r="B226" s="233"/>
      <c r="D226" s="234"/>
      <c r="H226" s="235"/>
      <c r="K226" s="236"/>
      <c r="L226" s="237"/>
      <c r="M226" s="233"/>
      <c r="N226" s="233"/>
      <c r="O226" s="233"/>
      <c r="P226" s="233"/>
      <c r="Q226" s="233"/>
      <c r="R226" s="233"/>
      <c r="S226" s="233"/>
      <c r="T226" s="237"/>
      <c r="U226" s="233"/>
      <c r="V226" s="238"/>
      <c r="W226" s="238"/>
      <c r="AK226" s="242"/>
      <c r="AM226" s="236"/>
    </row>
    <row r="227" ht="14.25" customHeight="1">
      <c r="B227" s="233"/>
      <c r="D227" s="234"/>
      <c r="H227" s="235"/>
      <c r="K227" s="236"/>
      <c r="L227" s="237"/>
      <c r="M227" s="233"/>
      <c r="N227" s="233"/>
      <c r="O227" s="233"/>
      <c r="P227" s="233"/>
      <c r="Q227" s="233"/>
      <c r="R227" s="233"/>
      <c r="S227" s="233"/>
      <c r="T227" s="237"/>
      <c r="U227" s="233"/>
      <c r="V227" s="238"/>
      <c r="W227" s="238"/>
      <c r="AK227" s="242"/>
      <c r="AM227" s="236"/>
    </row>
    <row r="228" ht="14.25" customHeight="1">
      <c r="B228" s="233"/>
      <c r="D228" s="234"/>
      <c r="H228" s="235"/>
      <c r="K228" s="236"/>
      <c r="L228" s="237"/>
      <c r="M228" s="233"/>
      <c r="N228" s="233"/>
      <c r="O228" s="233"/>
      <c r="P228" s="233"/>
      <c r="Q228" s="233"/>
      <c r="R228" s="233"/>
      <c r="S228" s="233"/>
      <c r="T228" s="237"/>
      <c r="U228" s="233"/>
      <c r="V228" s="238"/>
      <c r="W228" s="238"/>
      <c r="AK228" s="242"/>
      <c r="AM228" s="236"/>
    </row>
    <row r="229" ht="14.25" customHeight="1">
      <c r="B229" s="233"/>
      <c r="D229" s="234"/>
      <c r="H229" s="235"/>
      <c r="K229" s="236"/>
      <c r="L229" s="237"/>
      <c r="M229" s="233"/>
      <c r="N229" s="233"/>
      <c r="O229" s="233"/>
      <c r="P229" s="233"/>
      <c r="Q229" s="233"/>
      <c r="R229" s="233"/>
      <c r="S229" s="233"/>
      <c r="T229" s="237"/>
      <c r="U229" s="233"/>
      <c r="V229" s="238"/>
      <c r="W229" s="238"/>
      <c r="AK229" s="242"/>
      <c r="AM229" s="236"/>
    </row>
    <row r="230" ht="14.25" customHeight="1">
      <c r="B230" s="233"/>
      <c r="D230" s="234"/>
      <c r="H230" s="235"/>
      <c r="K230" s="236"/>
      <c r="L230" s="237"/>
      <c r="M230" s="233"/>
      <c r="N230" s="233"/>
      <c r="O230" s="233"/>
      <c r="P230" s="233"/>
      <c r="Q230" s="233"/>
      <c r="R230" s="233"/>
      <c r="S230" s="233"/>
      <c r="T230" s="237"/>
      <c r="U230" s="233"/>
      <c r="V230" s="238"/>
      <c r="W230" s="238"/>
      <c r="AK230" s="242"/>
      <c r="AM230" s="236"/>
    </row>
    <row r="231" ht="14.25" customHeight="1">
      <c r="B231" s="233"/>
      <c r="D231" s="234"/>
      <c r="H231" s="235"/>
      <c r="K231" s="236"/>
      <c r="L231" s="237"/>
      <c r="M231" s="233"/>
      <c r="N231" s="233"/>
      <c r="O231" s="233"/>
      <c r="P231" s="233"/>
      <c r="Q231" s="233"/>
      <c r="R231" s="233"/>
      <c r="S231" s="233"/>
      <c r="T231" s="237"/>
      <c r="U231" s="233"/>
      <c r="V231" s="238"/>
      <c r="W231" s="238"/>
      <c r="AK231" s="242"/>
      <c r="AM231" s="236"/>
    </row>
    <row r="232" ht="14.25" customHeight="1">
      <c r="B232" s="233"/>
      <c r="D232" s="234"/>
      <c r="H232" s="235"/>
      <c r="K232" s="236"/>
      <c r="L232" s="237"/>
      <c r="M232" s="233"/>
      <c r="N232" s="233"/>
      <c r="O232" s="233"/>
      <c r="P232" s="233"/>
      <c r="Q232" s="233"/>
      <c r="R232" s="233"/>
      <c r="S232" s="233"/>
      <c r="T232" s="237"/>
      <c r="U232" s="233"/>
      <c r="V232" s="238"/>
      <c r="W232" s="238"/>
      <c r="AK232" s="242"/>
      <c r="AM232" s="236"/>
    </row>
    <row r="233" ht="14.25" customHeight="1">
      <c r="B233" s="233"/>
      <c r="D233" s="234"/>
      <c r="H233" s="235"/>
      <c r="K233" s="236"/>
      <c r="L233" s="237"/>
      <c r="M233" s="233"/>
      <c r="N233" s="233"/>
      <c r="O233" s="233"/>
      <c r="P233" s="233"/>
      <c r="Q233" s="233"/>
      <c r="R233" s="233"/>
      <c r="S233" s="233"/>
      <c r="T233" s="237"/>
      <c r="U233" s="233"/>
      <c r="V233" s="238"/>
      <c r="W233" s="238"/>
      <c r="AK233" s="242"/>
      <c r="AM233" s="236"/>
    </row>
    <row r="234" ht="14.25" customHeight="1">
      <c r="B234" s="233"/>
      <c r="D234" s="234"/>
      <c r="H234" s="235"/>
      <c r="K234" s="236"/>
      <c r="L234" s="237"/>
      <c r="M234" s="233"/>
      <c r="N234" s="233"/>
      <c r="O234" s="233"/>
      <c r="P234" s="233"/>
      <c r="Q234" s="233"/>
      <c r="R234" s="233"/>
      <c r="S234" s="233"/>
      <c r="T234" s="237"/>
      <c r="U234" s="233"/>
      <c r="V234" s="238"/>
      <c r="W234" s="238"/>
      <c r="AK234" s="242"/>
      <c r="AM234" s="236"/>
    </row>
    <row r="235" ht="14.25" customHeight="1">
      <c r="B235" s="233"/>
      <c r="D235" s="234"/>
      <c r="H235" s="235"/>
      <c r="K235" s="236"/>
      <c r="L235" s="237"/>
      <c r="M235" s="233"/>
      <c r="N235" s="233"/>
      <c r="O235" s="233"/>
      <c r="P235" s="233"/>
      <c r="Q235" s="233"/>
      <c r="R235" s="233"/>
      <c r="S235" s="233"/>
      <c r="T235" s="237"/>
      <c r="U235" s="233"/>
      <c r="V235" s="238"/>
      <c r="W235" s="238"/>
      <c r="AK235" s="242"/>
      <c r="AM235" s="236"/>
    </row>
    <row r="236" ht="14.25" customHeight="1">
      <c r="B236" s="233"/>
      <c r="D236" s="234"/>
      <c r="H236" s="235"/>
      <c r="K236" s="236"/>
      <c r="L236" s="237"/>
      <c r="M236" s="233"/>
      <c r="N236" s="233"/>
      <c r="O236" s="233"/>
      <c r="P236" s="233"/>
      <c r="Q236" s="233"/>
      <c r="R236" s="233"/>
      <c r="S236" s="233"/>
      <c r="T236" s="237"/>
      <c r="U236" s="233"/>
      <c r="V236" s="238"/>
      <c r="W236" s="238"/>
      <c r="AK236" s="242"/>
      <c r="AM236" s="236"/>
    </row>
    <row r="237" ht="14.25" customHeight="1">
      <c r="B237" s="233"/>
      <c r="D237" s="234"/>
      <c r="H237" s="235"/>
      <c r="K237" s="236"/>
      <c r="L237" s="237"/>
      <c r="M237" s="233"/>
      <c r="N237" s="233"/>
      <c r="O237" s="233"/>
      <c r="P237" s="233"/>
      <c r="Q237" s="233"/>
      <c r="R237" s="233"/>
      <c r="S237" s="233"/>
      <c r="T237" s="237"/>
      <c r="U237" s="233"/>
      <c r="V237" s="238"/>
      <c r="W237" s="238"/>
      <c r="AK237" s="242"/>
      <c r="AM237" s="236"/>
    </row>
    <row r="238" ht="14.25" customHeight="1">
      <c r="B238" s="233"/>
      <c r="D238" s="234"/>
      <c r="H238" s="235"/>
      <c r="K238" s="236"/>
      <c r="L238" s="237"/>
      <c r="M238" s="233"/>
      <c r="N238" s="233"/>
      <c r="O238" s="233"/>
      <c r="P238" s="233"/>
      <c r="Q238" s="233"/>
      <c r="R238" s="233"/>
      <c r="S238" s="233"/>
      <c r="T238" s="237"/>
      <c r="U238" s="233"/>
      <c r="V238" s="238"/>
      <c r="W238" s="238"/>
      <c r="AK238" s="242"/>
      <c r="AM238" s="236"/>
    </row>
    <row r="239" ht="14.25" customHeight="1">
      <c r="B239" s="233"/>
      <c r="D239" s="234"/>
      <c r="H239" s="235"/>
      <c r="K239" s="236"/>
      <c r="L239" s="237"/>
      <c r="M239" s="233"/>
      <c r="N239" s="233"/>
      <c r="O239" s="233"/>
      <c r="P239" s="233"/>
      <c r="Q239" s="233"/>
      <c r="R239" s="233"/>
      <c r="S239" s="233"/>
      <c r="T239" s="237"/>
      <c r="U239" s="233"/>
      <c r="V239" s="238"/>
      <c r="W239" s="238"/>
      <c r="AK239" s="242"/>
      <c r="AM239" s="236"/>
    </row>
    <row r="240" ht="14.25" customHeight="1">
      <c r="B240" s="233"/>
      <c r="D240" s="234"/>
      <c r="H240" s="235"/>
      <c r="K240" s="236"/>
      <c r="L240" s="237"/>
      <c r="M240" s="233"/>
      <c r="N240" s="233"/>
      <c r="O240" s="233"/>
      <c r="P240" s="233"/>
      <c r="Q240" s="233"/>
      <c r="R240" s="233"/>
      <c r="S240" s="233"/>
      <c r="T240" s="237"/>
      <c r="U240" s="233"/>
      <c r="V240" s="238"/>
      <c r="W240" s="238"/>
      <c r="AK240" s="242"/>
      <c r="AM240" s="236"/>
    </row>
    <row r="241" ht="14.25" customHeight="1">
      <c r="B241" s="233"/>
      <c r="D241" s="234"/>
      <c r="H241" s="235"/>
      <c r="K241" s="236"/>
      <c r="L241" s="237"/>
      <c r="M241" s="233"/>
      <c r="N241" s="233"/>
      <c r="O241" s="233"/>
      <c r="P241" s="233"/>
      <c r="Q241" s="233"/>
      <c r="R241" s="233"/>
      <c r="S241" s="233"/>
      <c r="T241" s="237"/>
      <c r="U241" s="233"/>
      <c r="V241" s="238"/>
      <c r="W241" s="238"/>
      <c r="AK241" s="242"/>
      <c r="AM241" s="236"/>
    </row>
    <row r="242" ht="14.25" customHeight="1">
      <c r="B242" s="233"/>
      <c r="D242" s="234"/>
      <c r="H242" s="235"/>
      <c r="K242" s="236"/>
      <c r="L242" s="237"/>
      <c r="M242" s="233"/>
      <c r="N242" s="233"/>
      <c r="O242" s="233"/>
      <c r="P242" s="233"/>
      <c r="Q242" s="233"/>
      <c r="R242" s="233"/>
      <c r="S242" s="233"/>
      <c r="T242" s="237"/>
      <c r="U242" s="233"/>
      <c r="V242" s="238"/>
      <c r="W242" s="238"/>
      <c r="AK242" s="242"/>
      <c r="AM242" s="236"/>
    </row>
    <row r="243" ht="14.25" customHeight="1">
      <c r="B243" s="233"/>
      <c r="D243" s="234"/>
      <c r="H243" s="235"/>
      <c r="K243" s="236"/>
      <c r="L243" s="237"/>
      <c r="M243" s="233"/>
      <c r="N243" s="233"/>
      <c r="O243" s="233"/>
      <c r="P243" s="233"/>
      <c r="Q243" s="233"/>
      <c r="R243" s="233"/>
      <c r="S243" s="233"/>
      <c r="T243" s="237"/>
      <c r="U243" s="233"/>
      <c r="V243" s="238"/>
      <c r="W243" s="238"/>
      <c r="AK243" s="242"/>
      <c r="AM243" s="236"/>
    </row>
    <row r="244" ht="14.25" customHeight="1">
      <c r="B244" s="233"/>
      <c r="D244" s="234"/>
      <c r="H244" s="235"/>
      <c r="K244" s="236"/>
      <c r="L244" s="237"/>
      <c r="M244" s="233"/>
      <c r="N244" s="233"/>
      <c r="O244" s="233"/>
      <c r="P244" s="233"/>
      <c r="Q244" s="233"/>
      <c r="R244" s="233"/>
      <c r="S244" s="233"/>
      <c r="T244" s="237"/>
      <c r="U244" s="233"/>
      <c r="V244" s="238"/>
      <c r="W244" s="238"/>
      <c r="AK244" s="242"/>
      <c r="AM244" s="236"/>
    </row>
    <row r="245" ht="14.25" customHeight="1">
      <c r="B245" s="233"/>
      <c r="D245" s="234"/>
      <c r="H245" s="235"/>
      <c r="K245" s="236"/>
      <c r="L245" s="237"/>
      <c r="M245" s="233"/>
      <c r="N245" s="233"/>
      <c r="O245" s="233"/>
      <c r="P245" s="233"/>
      <c r="Q245" s="233"/>
      <c r="R245" s="233"/>
      <c r="S245" s="233"/>
      <c r="T245" s="237"/>
      <c r="U245" s="233"/>
      <c r="V245" s="238"/>
      <c r="W245" s="238"/>
      <c r="AK245" s="242"/>
      <c r="AM245" s="236"/>
    </row>
    <row r="246" ht="14.25" customHeight="1">
      <c r="B246" s="233"/>
      <c r="D246" s="234"/>
      <c r="H246" s="235"/>
      <c r="K246" s="236"/>
      <c r="L246" s="237"/>
      <c r="M246" s="233"/>
      <c r="N246" s="233"/>
      <c r="O246" s="233"/>
      <c r="P246" s="233"/>
      <c r="Q246" s="233"/>
      <c r="R246" s="233"/>
      <c r="S246" s="233"/>
      <c r="T246" s="237"/>
      <c r="U246" s="233"/>
      <c r="V246" s="238"/>
      <c r="W246" s="238"/>
      <c r="AK246" s="242"/>
      <c r="AM246" s="236"/>
    </row>
    <row r="247" ht="14.25" customHeight="1">
      <c r="B247" s="233"/>
      <c r="D247" s="234"/>
      <c r="H247" s="235"/>
      <c r="K247" s="236"/>
      <c r="L247" s="237"/>
      <c r="M247" s="233"/>
      <c r="N247" s="233"/>
      <c r="O247" s="233"/>
      <c r="P247" s="233"/>
      <c r="Q247" s="233"/>
      <c r="R247" s="233"/>
      <c r="S247" s="233"/>
      <c r="T247" s="237"/>
      <c r="U247" s="233"/>
      <c r="V247" s="238"/>
      <c r="W247" s="238"/>
      <c r="AK247" s="242"/>
      <c r="AM247" s="236"/>
    </row>
    <row r="248" ht="14.25" customHeight="1">
      <c r="B248" s="233"/>
      <c r="D248" s="234"/>
      <c r="H248" s="235"/>
      <c r="K248" s="236"/>
      <c r="L248" s="237"/>
      <c r="M248" s="233"/>
      <c r="N248" s="233"/>
      <c r="O248" s="233"/>
      <c r="P248" s="233"/>
      <c r="Q248" s="233"/>
      <c r="R248" s="233"/>
      <c r="S248" s="233"/>
      <c r="T248" s="237"/>
      <c r="U248" s="233"/>
      <c r="V248" s="238"/>
      <c r="W248" s="238"/>
      <c r="AK248" s="242"/>
      <c r="AM248" s="236"/>
    </row>
    <row r="249" ht="14.25" customHeight="1">
      <c r="B249" s="233"/>
      <c r="D249" s="234"/>
      <c r="H249" s="235"/>
      <c r="K249" s="236"/>
      <c r="L249" s="237"/>
      <c r="M249" s="233"/>
      <c r="N249" s="233"/>
      <c r="O249" s="233"/>
      <c r="P249" s="233"/>
      <c r="Q249" s="233"/>
      <c r="R249" s="233"/>
      <c r="S249" s="233"/>
      <c r="T249" s="237"/>
      <c r="U249" s="233"/>
      <c r="V249" s="238"/>
      <c r="W249" s="238"/>
      <c r="AK249" s="242"/>
      <c r="AM249" s="236"/>
    </row>
    <row r="250" ht="14.25" customHeight="1">
      <c r="B250" s="233"/>
      <c r="D250" s="234"/>
      <c r="H250" s="235"/>
      <c r="K250" s="236"/>
      <c r="L250" s="237"/>
      <c r="M250" s="233"/>
      <c r="N250" s="233"/>
      <c r="O250" s="233"/>
      <c r="P250" s="233"/>
      <c r="Q250" s="233"/>
      <c r="R250" s="233"/>
      <c r="S250" s="233"/>
      <c r="T250" s="237"/>
      <c r="U250" s="233"/>
      <c r="V250" s="238"/>
      <c r="W250" s="238"/>
      <c r="AK250" s="242"/>
      <c r="AM250" s="236"/>
    </row>
    <row r="251" ht="14.25" customHeight="1">
      <c r="B251" s="233"/>
      <c r="D251" s="234"/>
      <c r="H251" s="235"/>
      <c r="K251" s="236"/>
      <c r="L251" s="237"/>
      <c r="M251" s="233"/>
      <c r="N251" s="233"/>
      <c r="O251" s="233"/>
      <c r="P251" s="233"/>
      <c r="Q251" s="233"/>
      <c r="R251" s="233"/>
      <c r="S251" s="233"/>
      <c r="T251" s="237"/>
      <c r="U251" s="233"/>
      <c r="V251" s="238"/>
      <c r="W251" s="238"/>
      <c r="AK251" s="242"/>
      <c r="AM251" s="236"/>
    </row>
    <row r="252" ht="14.25" customHeight="1">
      <c r="B252" s="233"/>
      <c r="D252" s="234"/>
      <c r="H252" s="235"/>
      <c r="K252" s="236"/>
      <c r="L252" s="237"/>
      <c r="M252" s="233"/>
      <c r="N252" s="233"/>
      <c r="O252" s="233"/>
      <c r="P252" s="233"/>
      <c r="Q252" s="233"/>
      <c r="R252" s="233"/>
      <c r="S252" s="233"/>
      <c r="T252" s="237"/>
      <c r="U252" s="233"/>
      <c r="V252" s="238"/>
      <c r="W252" s="238"/>
      <c r="AK252" s="242"/>
      <c r="AM252" s="236"/>
    </row>
    <row r="253" ht="14.25" customHeight="1">
      <c r="B253" s="233"/>
      <c r="D253" s="234"/>
      <c r="H253" s="235"/>
      <c r="K253" s="236"/>
      <c r="L253" s="237"/>
      <c r="M253" s="233"/>
      <c r="N253" s="233"/>
      <c r="O253" s="233"/>
      <c r="P253" s="233"/>
      <c r="Q253" s="233"/>
      <c r="R253" s="233"/>
      <c r="S253" s="233"/>
      <c r="T253" s="237"/>
      <c r="U253" s="233"/>
      <c r="V253" s="238"/>
      <c r="W253" s="238"/>
      <c r="AK253" s="242"/>
      <c r="AM253" s="236"/>
    </row>
    <row r="254" ht="14.25" customHeight="1">
      <c r="B254" s="233"/>
      <c r="D254" s="234"/>
      <c r="H254" s="235"/>
      <c r="K254" s="236"/>
      <c r="L254" s="237"/>
      <c r="M254" s="233"/>
      <c r="N254" s="233"/>
      <c r="O254" s="233"/>
      <c r="P254" s="233"/>
      <c r="Q254" s="233"/>
      <c r="R254" s="233"/>
      <c r="S254" s="233"/>
      <c r="T254" s="237"/>
      <c r="U254" s="233"/>
      <c r="V254" s="238"/>
      <c r="W254" s="238"/>
      <c r="AK254" s="242"/>
      <c r="AM254" s="236"/>
    </row>
    <row r="255" ht="14.25" customHeight="1">
      <c r="B255" s="233"/>
      <c r="D255" s="234"/>
      <c r="H255" s="235"/>
      <c r="K255" s="236"/>
      <c r="L255" s="237"/>
      <c r="M255" s="233"/>
      <c r="N255" s="233"/>
      <c r="O255" s="233"/>
      <c r="P255" s="233"/>
      <c r="Q255" s="233"/>
      <c r="R255" s="233"/>
      <c r="S255" s="233"/>
      <c r="T255" s="237"/>
      <c r="U255" s="233"/>
      <c r="V255" s="238"/>
      <c r="W255" s="238"/>
      <c r="AK255" s="242"/>
      <c r="AM255" s="236"/>
    </row>
    <row r="256" ht="14.25" customHeight="1">
      <c r="B256" s="233"/>
      <c r="D256" s="234"/>
      <c r="H256" s="235"/>
      <c r="K256" s="236"/>
      <c r="L256" s="237"/>
      <c r="M256" s="233"/>
      <c r="N256" s="233"/>
      <c r="O256" s="233"/>
      <c r="P256" s="233"/>
      <c r="Q256" s="233"/>
      <c r="R256" s="233"/>
      <c r="S256" s="233"/>
      <c r="T256" s="237"/>
      <c r="U256" s="233"/>
      <c r="V256" s="238"/>
      <c r="W256" s="238"/>
      <c r="AK256" s="242"/>
      <c r="AM256" s="236"/>
    </row>
    <row r="257" ht="14.25" customHeight="1">
      <c r="B257" s="233"/>
      <c r="D257" s="234"/>
      <c r="H257" s="235"/>
      <c r="K257" s="236"/>
      <c r="L257" s="237"/>
      <c r="M257" s="233"/>
      <c r="N257" s="233"/>
      <c r="O257" s="233"/>
      <c r="P257" s="233"/>
      <c r="Q257" s="233"/>
      <c r="R257" s="233"/>
      <c r="S257" s="233"/>
      <c r="T257" s="237"/>
      <c r="U257" s="233"/>
      <c r="V257" s="238"/>
      <c r="W257" s="238"/>
      <c r="AK257" s="242"/>
      <c r="AM257" s="236"/>
    </row>
    <row r="258" ht="14.25" customHeight="1">
      <c r="B258" s="233"/>
      <c r="D258" s="234"/>
      <c r="H258" s="235"/>
      <c r="K258" s="236"/>
      <c r="L258" s="237"/>
      <c r="M258" s="233"/>
      <c r="N258" s="233"/>
      <c r="O258" s="233"/>
      <c r="P258" s="233"/>
      <c r="Q258" s="233"/>
      <c r="R258" s="233"/>
      <c r="S258" s="233"/>
      <c r="T258" s="237"/>
      <c r="U258" s="233"/>
      <c r="V258" s="238"/>
      <c r="W258" s="238"/>
      <c r="AK258" s="242"/>
      <c r="AM258" s="236"/>
    </row>
    <row r="259" ht="14.25" customHeight="1">
      <c r="B259" s="233"/>
      <c r="D259" s="234"/>
      <c r="H259" s="235"/>
      <c r="K259" s="236"/>
      <c r="L259" s="237"/>
      <c r="M259" s="233"/>
      <c r="N259" s="233"/>
      <c r="O259" s="233"/>
      <c r="P259" s="233"/>
      <c r="Q259" s="233"/>
      <c r="R259" s="233"/>
      <c r="S259" s="233"/>
      <c r="T259" s="237"/>
      <c r="U259" s="233"/>
      <c r="V259" s="238"/>
      <c r="W259" s="238"/>
      <c r="AK259" s="242"/>
      <c r="AM259" s="236"/>
    </row>
    <row r="260" ht="14.25" customHeight="1">
      <c r="B260" s="233"/>
      <c r="D260" s="234"/>
      <c r="H260" s="235"/>
      <c r="K260" s="236"/>
      <c r="L260" s="237"/>
      <c r="M260" s="233"/>
      <c r="N260" s="233"/>
      <c r="O260" s="233"/>
      <c r="P260" s="233"/>
      <c r="Q260" s="233"/>
      <c r="R260" s="233"/>
      <c r="S260" s="233"/>
      <c r="T260" s="237"/>
      <c r="U260" s="233"/>
      <c r="V260" s="238"/>
      <c r="W260" s="238"/>
      <c r="AK260" s="242"/>
      <c r="AM260" s="236"/>
    </row>
    <row r="261" ht="14.25" customHeight="1">
      <c r="B261" s="233"/>
      <c r="D261" s="234"/>
      <c r="H261" s="235"/>
      <c r="K261" s="236"/>
      <c r="L261" s="237"/>
      <c r="M261" s="233"/>
      <c r="N261" s="233"/>
      <c r="O261" s="233"/>
      <c r="P261" s="233"/>
      <c r="Q261" s="233"/>
      <c r="R261" s="233"/>
      <c r="S261" s="233"/>
      <c r="T261" s="237"/>
      <c r="U261" s="233"/>
      <c r="V261" s="238"/>
      <c r="W261" s="238"/>
      <c r="AK261" s="242"/>
      <c r="AM261" s="236"/>
    </row>
    <row r="262" ht="14.25" customHeight="1">
      <c r="B262" s="233"/>
      <c r="D262" s="234"/>
      <c r="H262" s="235"/>
      <c r="K262" s="236"/>
      <c r="L262" s="237"/>
      <c r="M262" s="233"/>
      <c r="N262" s="233"/>
      <c r="O262" s="233"/>
      <c r="P262" s="233"/>
      <c r="Q262" s="233"/>
      <c r="R262" s="233"/>
      <c r="S262" s="233"/>
      <c r="T262" s="237"/>
      <c r="U262" s="233"/>
      <c r="V262" s="238"/>
      <c r="W262" s="238"/>
      <c r="AK262" s="242"/>
      <c r="AM262" s="236"/>
    </row>
    <row r="263" ht="14.25" customHeight="1">
      <c r="B263" s="233"/>
      <c r="D263" s="234"/>
      <c r="H263" s="235"/>
      <c r="K263" s="236"/>
      <c r="L263" s="237"/>
      <c r="M263" s="233"/>
      <c r="N263" s="233"/>
      <c r="O263" s="233"/>
      <c r="P263" s="233"/>
      <c r="Q263" s="233"/>
      <c r="R263" s="233"/>
      <c r="S263" s="233"/>
      <c r="T263" s="237"/>
      <c r="U263" s="233"/>
      <c r="V263" s="238"/>
      <c r="W263" s="238"/>
      <c r="AK263" s="242"/>
      <c r="AM263" s="236"/>
    </row>
    <row r="264" ht="14.25" customHeight="1">
      <c r="B264" s="233"/>
      <c r="D264" s="234"/>
      <c r="H264" s="235"/>
      <c r="K264" s="236"/>
      <c r="L264" s="237"/>
      <c r="M264" s="233"/>
      <c r="N264" s="233"/>
      <c r="O264" s="233"/>
      <c r="P264" s="233"/>
      <c r="Q264" s="233"/>
      <c r="R264" s="233"/>
      <c r="S264" s="233"/>
      <c r="T264" s="237"/>
      <c r="U264" s="233"/>
      <c r="V264" s="238"/>
      <c r="W264" s="238"/>
      <c r="AK264" s="242"/>
      <c r="AM264" s="236"/>
    </row>
    <row r="265" ht="14.25" customHeight="1">
      <c r="B265" s="233"/>
      <c r="D265" s="234"/>
      <c r="H265" s="235"/>
      <c r="K265" s="236"/>
      <c r="L265" s="237"/>
      <c r="M265" s="233"/>
      <c r="N265" s="233"/>
      <c r="O265" s="233"/>
      <c r="P265" s="233"/>
      <c r="Q265" s="233"/>
      <c r="R265" s="233"/>
      <c r="S265" s="233"/>
      <c r="T265" s="237"/>
      <c r="U265" s="233"/>
      <c r="V265" s="238"/>
      <c r="W265" s="238"/>
      <c r="AK265" s="242"/>
      <c r="AM265" s="236"/>
    </row>
    <row r="266" ht="14.25" customHeight="1">
      <c r="B266" s="233"/>
      <c r="D266" s="234"/>
      <c r="H266" s="235"/>
      <c r="K266" s="236"/>
      <c r="L266" s="237"/>
      <c r="M266" s="233"/>
      <c r="N266" s="233"/>
      <c r="O266" s="233"/>
      <c r="P266" s="233"/>
      <c r="Q266" s="233"/>
      <c r="R266" s="233"/>
      <c r="S266" s="233"/>
      <c r="T266" s="237"/>
      <c r="U266" s="233"/>
      <c r="V266" s="238"/>
      <c r="W266" s="238"/>
      <c r="AK266" s="242"/>
      <c r="AM266" s="236"/>
    </row>
    <row r="267" ht="14.25" customHeight="1">
      <c r="B267" s="233"/>
      <c r="D267" s="234"/>
      <c r="H267" s="235"/>
      <c r="K267" s="236"/>
      <c r="L267" s="237"/>
      <c r="M267" s="233"/>
      <c r="N267" s="233"/>
      <c r="O267" s="233"/>
      <c r="P267" s="233"/>
      <c r="Q267" s="233"/>
      <c r="R267" s="233"/>
      <c r="S267" s="233"/>
      <c r="T267" s="237"/>
      <c r="U267" s="233"/>
      <c r="V267" s="238"/>
      <c r="W267" s="238"/>
      <c r="AK267" s="242"/>
      <c r="AM267" s="236"/>
    </row>
    <row r="268" ht="14.25" customHeight="1">
      <c r="B268" s="233"/>
      <c r="D268" s="234"/>
      <c r="H268" s="235"/>
      <c r="K268" s="236"/>
      <c r="L268" s="237"/>
      <c r="M268" s="233"/>
      <c r="N268" s="233"/>
      <c r="O268" s="233"/>
      <c r="P268" s="233"/>
      <c r="Q268" s="233"/>
      <c r="R268" s="233"/>
      <c r="S268" s="233"/>
      <c r="T268" s="237"/>
      <c r="U268" s="233"/>
      <c r="V268" s="238"/>
      <c r="W268" s="238"/>
      <c r="AK268" s="242"/>
      <c r="AM268" s="236"/>
    </row>
    <row r="269" ht="14.25" customHeight="1">
      <c r="B269" s="233"/>
      <c r="D269" s="234"/>
      <c r="H269" s="235"/>
      <c r="K269" s="236"/>
      <c r="L269" s="237"/>
      <c r="M269" s="233"/>
      <c r="N269" s="233"/>
      <c r="O269" s="233"/>
      <c r="P269" s="233"/>
      <c r="Q269" s="233"/>
      <c r="R269" s="233"/>
      <c r="S269" s="233"/>
      <c r="T269" s="237"/>
      <c r="U269" s="233"/>
      <c r="V269" s="238"/>
      <c r="W269" s="238"/>
      <c r="AK269" s="242"/>
      <c r="AM269" s="236"/>
    </row>
    <row r="270" ht="14.25" customHeight="1">
      <c r="B270" s="233"/>
      <c r="D270" s="234"/>
      <c r="H270" s="235"/>
      <c r="K270" s="236"/>
      <c r="L270" s="237"/>
      <c r="M270" s="233"/>
      <c r="N270" s="233"/>
      <c r="O270" s="233"/>
      <c r="P270" s="233"/>
      <c r="Q270" s="233"/>
      <c r="R270" s="233"/>
      <c r="S270" s="233"/>
      <c r="T270" s="237"/>
      <c r="U270" s="233"/>
      <c r="V270" s="238"/>
      <c r="W270" s="238"/>
      <c r="AK270" s="242"/>
      <c r="AM270" s="236"/>
    </row>
    <row r="271" ht="14.25" customHeight="1">
      <c r="B271" s="233"/>
      <c r="D271" s="234"/>
      <c r="H271" s="235"/>
      <c r="K271" s="236"/>
      <c r="L271" s="237"/>
      <c r="M271" s="233"/>
      <c r="N271" s="233"/>
      <c r="O271" s="233"/>
      <c r="P271" s="233"/>
      <c r="Q271" s="233"/>
      <c r="R271" s="233"/>
      <c r="S271" s="233"/>
      <c r="T271" s="237"/>
      <c r="U271" s="233"/>
      <c r="V271" s="238"/>
      <c r="W271" s="238"/>
      <c r="AK271" s="242"/>
      <c r="AM271" s="236"/>
    </row>
    <row r="272" ht="14.25" customHeight="1">
      <c r="B272" s="233"/>
      <c r="D272" s="234"/>
      <c r="H272" s="235"/>
      <c r="K272" s="236"/>
      <c r="L272" s="237"/>
      <c r="M272" s="233"/>
      <c r="N272" s="233"/>
      <c r="O272" s="233"/>
      <c r="P272" s="233"/>
      <c r="Q272" s="233"/>
      <c r="R272" s="233"/>
      <c r="S272" s="233"/>
      <c r="T272" s="237"/>
      <c r="U272" s="233"/>
      <c r="V272" s="238"/>
      <c r="W272" s="238"/>
      <c r="AK272" s="242"/>
      <c r="AM272" s="236"/>
    </row>
    <row r="273" ht="14.25" customHeight="1">
      <c r="B273" s="233"/>
      <c r="D273" s="234"/>
      <c r="H273" s="235"/>
      <c r="K273" s="236"/>
      <c r="L273" s="237"/>
      <c r="M273" s="233"/>
      <c r="N273" s="233"/>
      <c r="O273" s="233"/>
      <c r="P273" s="233"/>
      <c r="Q273" s="233"/>
      <c r="R273" s="233"/>
      <c r="S273" s="233"/>
      <c r="T273" s="237"/>
      <c r="U273" s="233"/>
      <c r="V273" s="238"/>
      <c r="W273" s="238"/>
      <c r="AK273" s="242"/>
      <c r="AM273" s="236"/>
    </row>
    <row r="274" ht="14.25" customHeight="1">
      <c r="B274" s="233"/>
      <c r="D274" s="234"/>
      <c r="H274" s="235"/>
      <c r="K274" s="236"/>
      <c r="L274" s="237"/>
      <c r="M274" s="233"/>
      <c r="N274" s="233"/>
      <c r="O274" s="233"/>
      <c r="P274" s="233"/>
      <c r="Q274" s="233"/>
      <c r="R274" s="233"/>
      <c r="S274" s="233"/>
      <c r="T274" s="237"/>
      <c r="U274" s="233"/>
      <c r="V274" s="238"/>
      <c r="W274" s="238"/>
      <c r="AK274" s="242"/>
      <c r="AM274" s="236"/>
    </row>
    <row r="275" ht="14.25" customHeight="1">
      <c r="B275" s="233"/>
      <c r="D275" s="234"/>
      <c r="H275" s="235"/>
      <c r="K275" s="236"/>
      <c r="L275" s="237"/>
      <c r="M275" s="233"/>
      <c r="N275" s="233"/>
      <c r="O275" s="233"/>
      <c r="P275" s="233"/>
      <c r="Q275" s="233"/>
      <c r="R275" s="233"/>
      <c r="S275" s="233"/>
      <c r="T275" s="237"/>
      <c r="U275" s="233"/>
      <c r="V275" s="238"/>
      <c r="W275" s="238"/>
      <c r="AK275" s="242"/>
      <c r="AM275" s="236"/>
    </row>
    <row r="276" ht="14.25" customHeight="1">
      <c r="B276" s="233"/>
      <c r="D276" s="234"/>
      <c r="H276" s="235"/>
      <c r="K276" s="236"/>
      <c r="L276" s="237"/>
      <c r="M276" s="233"/>
      <c r="N276" s="233"/>
      <c r="O276" s="233"/>
      <c r="P276" s="233"/>
      <c r="Q276" s="233"/>
      <c r="R276" s="233"/>
      <c r="S276" s="233"/>
      <c r="T276" s="237"/>
      <c r="U276" s="233"/>
      <c r="V276" s="238"/>
      <c r="W276" s="238"/>
      <c r="AK276" s="242"/>
      <c r="AM276" s="236"/>
    </row>
    <row r="277" ht="14.25" customHeight="1">
      <c r="B277" s="233"/>
      <c r="D277" s="234"/>
      <c r="H277" s="235"/>
      <c r="K277" s="236"/>
      <c r="L277" s="237"/>
      <c r="M277" s="233"/>
      <c r="N277" s="233"/>
      <c r="O277" s="233"/>
      <c r="P277" s="233"/>
      <c r="Q277" s="233"/>
      <c r="R277" s="233"/>
      <c r="S277" s="233"/>
      <c r="T277" s="237"/>
      <c r="U277" s="233"/>
      <c r="V277" s="238"/>
      <c r="W277" s="238"/>
      <c r="AK277" s="242"/>
      <c r="AM277" s="236"/>
    </row>
    <row r="278" ht="14.25" customHeight="1">
      <c r="B278" s="233"/>
      <c r="D278" s="234"/>
      <c r="H278" s="235"/>
      <c r="K278" s="236"/>
      <c r="L278" s="237"/>
      <c r="M278" s="233"/>
      <c r="N278" s="233"/>
      <c r="O278" s="233"/>
      <c r="P278" s="233"/>
      <c r="Q278" s="233"/>
      <c r="R278" s="233"/>
      <c r="S278" s="233"/>
      <c r="T278" s="237"/>
      <c r="U278" s="233"/>
      <c r="V278" s="238"/>
      <c r="W278" s="238"/>
      <c r="AK278" s="242"/>
      <c r="AM278" s="236"/>
    </row>
    <row r="279" ht="14.25" customHeight="1">
      <c r="B279" s="233"/>
      <c r="D279" s="234"/>
      <c r="H279" s="235"/>
      <c r="K279" s="236"/>
      <c r="L279" s="237"/>
      <c r="M279" s="233"/>
      <c r="N279" s="233"/>
      <c r="O279" s="233"/>
      <c r="P279" s="233"/>
      <c r="Q279" s="233"/>
      <c r="R279" s="233"/>
      <c r="S279" s="233"/>
      <c r="T279" s="237"/>
      <c r="U279" s="233"/>
      <c r="V279" s="238"/>
      <c r="W279" s="238"/>
      <c r="AK279" s="242"/>
      <c r="AM279" s="236"/>
    </row>
    <row r="280" ht="14.25" customHeight="1">
      <c r="B280" s="233"/>
      <c r="D280" s="234"/>
      <c r="H280" s="235"/>
      <c r="K280" s="236"/>
      <c r="L280" s="237"/>
      <c r="M280" s="233"/>
      <c r="N280" s="233"/>
      <c r="O280" s="233"/>
      <c r="P280" s="233"/>
      <c r="Q280" s="233"/>
      <c r="R280" s="233"/>
      <c r="S280" s="233"/>
      <c r="T280" s="237"/>
      <c r="U280" s="233"/>
      <c r="V280" s="238"/>
      <c r="W280" s="238"/>
      <c r="AK280" s="242"/>
      <c r="AM280" s="236"/>
    </row>
    <row r="281" ht="14.25" customHeight="1">
      <c r="B281" s="233"/>
      <c r="D281" s="234"/>
      <c r="H281" s="235"/>
      <c r="K281" s="236"/>
      <c r="L281" s="237"/>
      <c r="M281" s="233"/>
      <c r="N281" s="233"/>
      <c r="O281" s="233"/>
      <c r="P281" s="233"/>
      <c r="Q281" s="233"/>
      <c r="R281" s="233"/>
      <c r="S281" s="233"/>
      <c r="T281" s="237"/>
      <c r="U281" s="233"/>
      <c r="V281" s="238"/>
      <c r="W281" s="238"/>
      <c r="AK281" s="242"/>
      <c r="AM281" s="236"/>
    </row>
    <row r="282" ht="14.25" customHeight="1">
      <c r="B282" s="233"/>
      <c r="D282" s="234"/>
      <c r="H282" s="235"/>
      <c r="K282" s="236"/>
      <c r="L282" s="237"/>
      <c r="M282" s="233"/>
      <c r="N282" s="233"/>
      <c r="O282" s="233"/>
      <c r="P282" s="233"/>
      <c r="Q282" s="233"/>
      <c r="R282" s="233"/>
      <c r="S282" s="233"/>
      <c r="T282" s="237"/>
      <c r="U282" s="233"/>
      <c r="V282" s="238"/>
      <c r="W282" s="238"/>
      <c r="AK282" s="242"/>
      <c r="AM282" s="236"/>
    </row>
    <row r="283" ht="14.25" customHeight="1">
      <c r="B283" s="233"/>
      <c r="D283" s="234"/>
      <c r="H283" s="235"/>
      <c r="K283" s="236"/>
      <c r="L283" s="237"/>
      <c r="M283" s="233"/>
      <c r="N283" s="233"/>
      <c r="O283" s="233"/>
      <c r="P283" s="233"/>
      <c r="Q283" s="233"/>
      <c r="R283" s="233"/>
      <c r="S283" s="233"/>
      <c r="T283" s="237"/>
      <c r="U283" s="233"/>
      <c r="V283" s="238"/>
      <c r="W283" s="238"/>
      <c r="AK283" s="242"/>
      <c r="AM283" s="236"/>
    </row>
    <row r="284" ht="14.25" customHeight="1">
      <c r="B284" s="233"/>
      <c r="D284" s="234"/>
      <c r="H284" s="235"/>
      <c r="K284" s="236"/>
      <c r="L284" s="237"/>
      <c r="M284" s="233"/>
      <c r="N284" s="233"/>
      <c r="O284" s="233"/>
      <c r="P284" s="233"/>
      <c r="Q284" s="233"/>
      <c r="R284" s="233"/>
      <c r="S284" s="233"/>
      <c r="T284" s="237"/>
      <c r="U284" s="233"/>
      <c r="V284" s="238"/>
      <c r="W284" s="238"/>
      <c r="AK284" s="242"/>
      <c r="AM284" s="236"/>
    </row>
    <row r="285" ht="14.25" customHeight="1">
      <c r="B285" s="233"/>
      <c r="D285" s="234"/>
      <c r="H285" s="235"/>
      <c r="K285" s="236"/>
      <c r="L285" s="237"/>
      <c r="M285" s="233"/>
      <c r="N285" s="233"/>
      <c r="O285" s="233"/>
      <c r="P285" s="233"/>
      <c r="Q285" s="233"/>
      <c r="R285" s="233"/>
      <c r="S285" s="233"/>
      <c r="T285" s="237"/>
      <c r="U285" s="233"/>
      <c r="V285" s="238"/>
      <c r="W285" s="238"/>
      <c r="AK285" s="242"/>
      <c r="AM285" s="236"/>
    </row>
    <row r="286" ht="14.25" customHeight="1">
      <c r="B286" s="233"/>
      <c r="D286" s="234"/>
      <c r="H286" s="235"/>
      <c r="K286" s="236"/>
      <c r="L286" s="237"/>
      <c r="M286" s="233"/>
      <c r="N286" s="233"/>
      <c r="O286" s="233"/>
      <c r="P286" s="233"/>
      <c r="Q286" s="233"/>
      <c r="R286" s="233"/>
      <c r="S286" s="233"/>
      <c r="T286" s="237"/>
      <c r="U286" s="233"/>
      <c r="V286" s="238"/>
      <c r="W286" s="238"/>
      <c r="AK286" s="242"/>
      <c r="AM286" s="236"/>
    </row>
    <row r="287" ht="14.25" customHeight="1">
      <c r="B287" s="233"/>
      <c r="D287" s="234"/>
      <c r="H287" s="235"/>
      <c r="K287" s="236"/>
      <c r="L287" s="237"/>
      <c r="M287" s="233"/>
      <c r="N287" s="233"/>
      <c r="O287" s="233"/>
      <c r="P287" s="233"/>
      <c r="Q287" s="233"/>
      <c r="R287" s="233"/>
      <c r="S287" s="233"/>
      <c r="T287" s="237"/>
      <c r="U287" s="233"/>
      <c r="V287" s="238"/>
      <c r="W287" s="238"/>
      <c r="AK287" s="242"/>
      <c r="AM287" s="236"/>
    </row>
    <row r="288" ht="14.25" customHeight="1">
      <c r="B288" s="233"/>
      <c r="D288" s="234"/>
      <c r="H288" s="235"/>
      <c r="K288" s="236"/>
      <c r="L288" s="237"/>
      <c r="M288" s="233"/>
      <c r="N288" s="233"/>
      <c r="O288" s="233"/>
      <c r="P288" s="233"/>
      <c r="Q288" s="233"/>
      <c r="R288" s="233"/>
      <c r="S288" s="233"/>
      <c r="T288" s="237"/>
      <c r="U288" s="233"/>
      <c r="V288" s="238"/>
      <c r="W288" s="238"/>
      <c r="AK288" s="242"/>
      <c r="AM288" s="236"/>
    </row>
    <row r="289" ht="14.25" customHeight="1">
      <c r="B289" s="233"/>
      <c r="D289" s="234"/>
      <c r="H289" s="235"/>
      <c r="K289" s="236"/>
      <c r="L289" s="237"/>
      <c r="M289" s="233"/>
      <c r="N289" s="233"/>
      <c r="O289" s="233"/>
      <c r="P289" s="233"/>
      <c r="Q289" s="233"/>
      <c r="R289" s="233"/>
      <c r="S289" s="233"/>
      <c r="T289" s="237"/>
      <c r="U289" s="233"/>
      <c r="V289" s="238"/>
      <c r="W289" s="238"/>
      <c r="AK289" s="242"/>
      <c r="AM289" s="236"/>
    </row>
    <row r="290" ht="14.25" customHeight="1">
      <c r="B290" s="233"/>
      <c r="D290" s="234"/>
      <c r="H290" s="235"/>
      <c r="K290" s="236"/>
      <c r="L290" s="237"/>
      <c r="M290" s="233"/>
      <c r="N290" s="233"/>
      <c r="O290" s="233"/>
      <c r="P290" s="233"/>
      <c r="Q290" s="233"/>
      <c r="R290" s="233"/>
      <c r="S290" s="233"/>
      <c r="T290" s="237"/>
      <c r="U290" s="233"/>
      <c r="V290" s="238"/>
      <c r="W290" s="238"/>
      <c r="AK290" s="242"/>
      <c r="AM290" s="236"/>
    </row>
    <row r="291" ht="14.25" customHeight="1">
      <c r="B291" s="233"/>
      <c r="D291" s="234"/>
      <c r="H291" s="235"/>
      <c r="K291" s="236"/>
      <c r="L291" s="237"/>
      <c r="M291" s="233"/>
      <c r="N291" s="233"/>
      <c r="O291" s="233"/>
      <c r="P291" s="233"/>
      <c r="Q291" s="233"/>
      <c r="R291" s="233"/>
      <c r="S291" s="233"/>
      <c r="T291" s="237"/>
      <c r="U291" s="233"/>
      <c r="V291" s="238"/>
      <c r="W291" s="238"/>
      <c r="AK291" s="242"/>
      <c r="AM291" s="236"/>
    </row>
    <row r="292" ht="14.25" customHeight="1">
      <c r="B292" s="233"/>
      <c r="D292" s="234"/>
      <c r="H292" s="235"/>
      <c r="K292" s="236"/>
      <c r="L292" s="237"/>
      <c r="M292" s="233"/>
      <c r="N292" s="233"/>
      <c r="O292" s="233"/>
      <c r="P292" s="233"/>
      <c r="Q292" s="233"/>
      <c r="R292" s="233"/>
      <c r="S292" s="233"/>
      <c r="T292" s="237"/>
      <c r="U292" s="233"/>
      <c r="V292" s="238"/>
      <c r="W292" s="238"/>
      <c r="AK292" s="242"/>
      <c r="AM292" s="236"/>
    </row>
    <row r="293" ht="14.25" customHeight="1">
      <c r="B293" s="233"/>
      <c r="D293" s="234"/>
      <c r="H293" s="235"/>
      <c r="K293" s="236"/>
      <c r="L293" s="237"/>
      <c r="M293" s="233"/>
      <c r="N293" s="233"/>
      <c r="O293" s="233"/>
      <c r="P293" s="233"/>
      <c r="Q293" s="233"/>
      <c r="R293" s="233"/>
      <c r="S293" s="233"/>
      <c r="T293" s="237"/>
      <c r="U293" s="233"/>
      <c r="V293" s="238"/>
      <c r="W293" s="238"/>
      <c r="AK293" s="242"/>
      <c r="AM293" s="236"/>
    </row>
    <row r="294" ht="14.25" customHeight="1">
      <c r="B294" s="233"/>
      <c r="D294" s="234"/>
      <c r="H294" s="235"/>
      <c r="K294" s="236"/>
      <c r="L294" s="237"/>
      <c r="M294" s="233"/>
      <c r="N294" s="233"/>
      <c r="O294" s="233"/>
      <c r="P294" s="233"/>
      <c r="Q294" s="233"/>
      <c r="R294" s="233"/>
      <c r="S294" s="233"/>
      <c r="T294" s="237"/>
      <c r="U294" s="233"/>
      <c r="V294" s="238"/>
      <c r="W294" s="238"/>
      <c r="AK294" s="242"/>
      <c r="AM294" s="236"/>
    </row>
    <row r="295" ht="14.25" customHeight="1">
      <c r="B295" s="233"/>
      <c r="D295" s="234"/>
      <c r="H295" s="235"/>
      <c r="K295" s="236"/>
      <c r="L295" s="237"/>
      <c r="M295" s="233"/>
      <c r="N295" s="233"/>
      <c r="O295" s="233"/>
      <c r="P295" s="233"/>
      <c r="Q295" s="233"/>
      <c r="R295" s="233"/>
      <c r="S295" s="233"/>
      <c r="T295" s="237"/>
      <c r="U295" s="233"/>
      <c r="V295" s="238"/>
      <c r="W295" s="238"/>
      <c r="AK295" s="242"/>
      <c r="AM295" s="236"/>
    </row>
    <row r="296" ht="14.25" customHeight="1">
      <c r="B296" s="233"/>
      <c r="D296" s="234"/>
      <c r="H296" s="235"/>
      <c r="K296" s="236"/>
      <c r="L296" s="237"/>
      <c r="M296" s="233"/>
      <c r="N296" s="233"/>
      <c r="O296" s="233"/>
      <c r="P296" s="233"/>
      <c r="Q296" s="233"/>
      <c r="R296" s="233"/>
      <c r="S296" s="233"/>
      <c r="T296" s="237"/>
      <c r="U296" s="233"/>
      <c r="V296" s="238"/>
      <c r="W296" s="238"/>
      <c r="AK296" s="242"/>
      <c r="AM296" s="236"/>
    </row>
    <row r="297" ht="14.25" customHeight="1">
      <c r="B297" s="233"/>
      <c r="D297" s="234"/>
      <c r="H297" s="235"/>
      <c r="K297" s="236"/>
      <c r="L297" s="237"/>
      <c r="M297" s="233"/>
      <c r="N297" s="233"/>
      <c r="O297" s="233"/>
      <c r="P297" s="233"/>
      <c r="Q297" s="233"/>
      <c r="R297" s="233"/>
      <c r="S297" s="233"/>
      <c r="T297" s="237"/>
      <c r="U297" s="233"/>
      <c r="V297" s="238"/>
      <c r="W297" s="238"/>
      <c r="AK297" s="242"/>
      <c r="AM297" s="236"/>
    </row>
    <row r="298" ht="14.25" customHeight="1">
      <c r="B298" s="233"/>
      <c r="D298" s="234"/>
      <c r="H298" s="235"/>
      <c r="K298" s="236"/>
      <c r="L298" s="237"/>
      <c r="M298" s="233"/>
      <c r="N298" s="233"/>
      <c r="O298" s="233"/>
      <c r="P298" s="233"/>
      <c r="Q298" s="233"/>
      <c r="R298" s="233"/>
      <c r="S298" s="233"/>
      <c r="T298" s="237"/>
      <c r="U298" s="233"/>
      <c r="V298" s="238"/>
      <c r="W298" s="238"/>
      <c r="AK298" s="242"/>
      <c r="AM298" s="236"/>
    </row>
    <row r="299" ht="14.25" customHeight="1">
      <c r="B299" s="233"/>
      <c r="D299" s="234"/>
      <c r="H299" s="235"/>
      <c r="K299" s="236"/>
      <c r="L299" s="237"/>
      <c r="M299" s="233"/>
      <c r="N299" s="233"/>
      <c r="O299" s="233"/>
      <c r="P299" s="233"/>
      <c r="Q299" s="233"/>
      <c r="R299" s="233"/>
      <c r="S299" s="233"/>
      <c r="T299" s="237"/>
      <c r="U299" s="233"/>
      <c r="V299" s="238"/>
      <c r="W299" s="238"/>
      <c r="AK299" s="242"/>
      <c r="AM299" s="236"/>
    </row>
    <row r="300" ht="14.25" customHeight="1">
      <c r="B300" s="233"/>
      <c r="D300" s="234"/>
      <c r="H300" s="235"/>
      <c r="K300" s="236"/>
      <c r="L300" s="237"/>
      <c r="M300" s="233"/>
      <c r="N300" s="233"/>
      <c r="O300" s="233"/>
      <c r="P300" s="233"/>
      <c r="Q300" s="233"/>
      <c r="R300" s="233"/>
      <c r="S300" s="233"/>
      <c r="T300" s="237"/>
      <c r="U300" s="233"/>
      <c r="V300" s="238"/>
      <c r="W300" s="238"/>
      <c r="AK300" s="242"/>
      <c r="AM300" s="236"/>
    </row>
    <row r="301" ht="14.25" customHeight="1">
      <c r="B301" s="233"/>
      <c r="D301" s="234"/>
      <c r="H301" s="235"/>
      <c r="K301" s="236"/>
      <c r="L301" s="237"/>
      <c r="M301" s="233"/>
      <c r="N301" s="233"/>
      <c r="O301" s="233"/>
      <c r="P301" s="233"/>
      <c r="Q301" s="233"/>
      <c r="R301" s="233"/>
      <c r="S301" s="233"/>
      <c r="T301" s="237"/>
      <c r="U301" s="233"/>
      <c r="V301" s="238"/>
      <c r="W301" s="238"/>
      <c r="AK301" s="242"/>
      <c r="AM301" s="236"/>
    </row>
    <row r="302" ht="14.25" customHeight="1">
      <c r="B302" s="233"/>
      <c r="D302" s="234"/>
      <c r="H302" s="235"/>
      <c r="K302" s="236"/>
      <c r="L302" s="237"/>
      <c r="M302" s="233"/>
      <c r="N302" s="233"/>
      <c r="O302" s="233"/>
      <c r="P302" s="233"/>
      <c r="Q302" s="233"/>
      <c r="R302" s="233"/>
      <c r="S302" s="233"/>
      <c r="T302" s="237"/>
      <c r="U302" s="233"/>
      <c r="V302" s="238"/>
      <c r="W302" s="238"/>
      <c r="AK302" s="242"/>
      <c r="AM302" s="236"/>
    </row>
    <row r="303" ht="14.25" customHeight="1">
      <c r="B303" s="233"/>
      <c r="D303" s="234"/>
      <c r="H303" s="235"/>
      <c r="K303" s="236"/>
      <c r="L303" s="237"/>
      <c r="M303" s="233"/>
      <c r="N303" s="233"/>
      <c r="O303" s="233"/>
      <c r="P303" s="233"/>
      <c r="Q303" s="233"/>
      <c r="R303" s="233"/>
      <c r="S303" s="233"/>
      <c r="T303" s="237"/>
      <c r="U303" s="233"/>
      <c r="V303" s="238"/>
      <c r="W303" s="238"/>
      <c r="AK303" s="242"/>
      <c r="AM303" s="236"/>
    </row>
    <row r="304" ht="14.25" customHeight="1">
      <c r="B304" s="233"/>
      <c r="D304" s="234"/>
      <c r="H304" s="235"/>
      <c r="K304" s="236"/>
      <c r="L304" s="237"/>
      <c r="M304" s="233"/>
      <c r="N304" s="233"/>
      <c r="O304" s="233"/>
      <c r="P304" s="233"/>
      <c r="Q304" s="233"/>
      <c r="R304" s="233"/>
      <c r="S304" s="233"/>
      <c r="T304" s="237"/>
      <c r="U304" s="233"/>
      <c r="V304" s="238"/>
      <c r="W304" s="238"/>
      <c r="AK304" s="242"/>
      <c r="AM304" s="236"/>
    </row>
    <row r="305" ht="14.25" customHeight="1">
      <c r="B305" s="233"/>
      <c r="D305" s="234"/>
      <c r="H305" s="235"/>
      <c r="K305" s="236"/>
      <c r="L305" s="237"/>
      <c r="M305" s="233"/>
      <c r="N305" s="233"/>
      <c r="O305" s="233"/>
      <c r="P305" s="233"/>
      <c r="Q305" s="233"/>
      <c r="R305" s="233"/>
      <c r="S305" s="233"/>
      <c r="T305" s="237"/>
      <c r="U305" s="233"/>
      <c r="V305" s="238"/>
      <c r="W305" s="238"/>
      <c r="AK305" s="242"/>
      <c r="AM305" s="236"/>
    </row>
    <row r="306" ht="14.25" customHeight="1">
      <c r="B306" s="233"/>
      <c r="D306" s="234"/>
      <c r="H306" s="235"/>
      <c r="K306" s="236"/>
      <c r="L306" s="237"/>
      <c r="M306" s="233"/>
      <c r="N306" s="233"/>
      <c r="O306" s="233"/>
      <c r="P306" s="233"/>
      <c r="Q306" s="233"/>
      <c r="R306" s="233"/>
      <c r="S306" s="233"/>
      <c r="T306" s="237"/>
      <c r="U306" s="233"/>
      <c r="V306" s="238"/>
      <c r="W306" s="238"/>
      <c r="AK306" s="242"/>
      <c r="AM306" s="236"/>
    </row>
    <row r="307" ht="14.25" customHeight="1">
      <c r="B307" s="233"/>
      <c r="D307" s="234"/>
      <c r="H307" s="235"/>
      <c r="K307" s="236"/>
      <c r="L307" s="237"/>
      <c r="M307" s="233"/>
      <c r="N307" s="233"/>
      <c r="O307" s="233"/>
      <c r="P307" s="233"/>
      <c r="Q307" s="233"/>
      <c r="R307" s="233"/>
      <c r="S307" s="233"/>
      <c r="T307" s="237"/>
      <c r="U307" s="233"/>
      <c r="V307" s="238"/>
      <c r="W307" s="238"/>
      <c r="AK307" s="242"/>
      <c r="AM307" s="236"/>
    </row>
    <row r="308" ht="14.25" customHeight="1">
      <c r="B308" s="233"/>
      <c r="D308" s="234"/>
      <c r="H308" s="235"/>
      <c r="K308" s="236"/>
      <c r="L308" s="237"/>
      <c r="M308" s="233"/>
      <c r="N308" s="233"/>
      <c r="O308" s="233"/>
      <c r="P308" s="233"/>
      <c r="Q308" s="233"/>
      <c r="R308" s="233"/>
      <c r="S308" s="233"/>
      <c r="T308" s="237"/>
      <c r="U308" s="233"/>
      <c r="V308" s="238"/>
      <c r="W308" s="238"/>
      <c r="AK308" s="242"/>
      <c r="AM308" s="236"/>
    </row>
    <row r="309" ht="14.25" customHeight="1">
      <c r="B309" s="233"/>
      <c r="D309" s="234"/>
      <c r="H309" s="235"/>
      <c r="K309" s="236"/>
      <c r="L309" s="237"/>
      <c r="M309" s="233"/>
      <c r="N309" s="233"/>
      <c r="O309" s="233"/>
      <c r="P309" s="233"/>
      <c r="Q309" s="233"/>
      <c r="R309" s="233"/>
      <c r="S309" s="233"/>
      <c r="T309" s="237"/>
      <c r="U309" s="233"/>
      <c r="V309" s="238"/>
      <c r="W309" s="238"/>
      <c r="AK309" s="242"/>
      <c r="AM309" s="236"/>
    </row>
    <row r="310" ht="14.25" customHeight="1">
      <c r="B310" s="233"/>
      <c r="D310" s="234"/>
      <c r="H310" s="235"/>
      <c r="K310" s="236"/>
      <c r="L310" s="237"/>
      <c r="M310" s="233"/>
      <c r="N310" s="233"/>
      <c r="O310" s="233"/>
      <c r="P310" s="233"/>
      <c r="Q310" s="233"/>
      <c r="R310" s="233"/>
      <c r="S310" s="233"/>
      <c r="T310" s="237"/>
      <c r="U310" s="233"/>
      <c r="V310" s="238"/>
      <c r="W310" s="238"/>
      <c r="AK310" s="242"/>
      <c r="AM310" s="236"/>
    </row>
    <row r="311" ht="14.25" customHeight="1">
      <c r="B311" s="233"/>
      <c r="D311" s="234"/>
      <c r="H311" s="235"/>
      <c r="K311" s="236"/>
      <c r="L311" s="237"/>
      <c r="M311" s="233"/>
      <c r="N311" s="233"/>
      <c r="O311" s="233"/>
      <c r="P311" s="233"/>
      <c r="Q311" s="233"/>
      <c r="R311" s="233"/>
      <c r="S311" s="233"/>
      <c r="T311" s="237"/>
      <c r="U311" s="233"/>
      <c r="V311" s="238"/>
      <c r="W311" s="238"/>
      <c r="AK311" s="242"/>
      <c r="AM311" s="236"/>
    </row>
    <row r="312" ht="14.25" customHeight="1">
      <c r="B312" s="233"/>
      <c r="D312" s="234"/>
      <c r="H312" s="235"/>
      <c r="K312" s="236"/>
      <c r="L312" s="237"/>
      <c r="M312" s="233"/>
      <c r="N312" s="233"/>
      <c r="O312" s="233"/>
      <c r="P312" s="233"/>
      <c r="Q312" s="233"/>
      <c r="R312" s="233"/>
      <c r="S312" s="233"/>
      <c r="T312" s="237"/>
      <c r="U312" s="233"/>
      <c r="V312" s="238"/>
      <c r="W312" s="238"/>
      <c r="AK312" s="242"/>
      <c r="AM312" s="236"/>
    </row>
    <row r="313" ht="14.25" customHeight="1">
      <c r="B313" s="233"/>
      <c r="D313" s="234"/>
      <c r="H313" s="235"/>
      <c r="K313" s="236"/>
      <c r="L313" s="237"/>
      <c r="M313" s="233"/>
      <c r="N313" s="233"/>
      <c r="O313" s="233"/>
      <c r="P313" s="233"/>
      <c r="Q313" s="233"/>
      <c r="R313" s="233"/>
      <c r="S313" s="233"/>
      <c r="T313" s="237"/>
      <c r="U313" s="233"/>
      <c r="V313" s="238"/>
      <c r="W313" s="238"/>
      <c r="AK313" s="242"/>
      <c r="AM313" s="236"/>
    </row>
    <row r="314" ht="14.25" customHeight="1">
      <c r="B314" s="233"/>
      <c r="D314" s="234"/>
      <c r="H314" s="235"/>
      <c r="K314" s="236"/>
      <c r="L314" s="237"/>
      <c r="M314" s="233"/>
      <c r="N314" s="233"/>
      <c r="O314" s="233"/>
      <c r="P314" s="233"/>
      <c r="Q314" s="233"/>
      <c r="R314" s="233"/>
      <c r="S314" s="233"/>
      <c r="T314" s="237"/>
      <c r="U314" s="233"/>
      <c r="V314" s="238"/>
      <c r="W314" s="238"/>
      <c r="AK314" s="242"/>
      <c r="AM314" s="236"/>
    </row>
    <row r="315" ht="14.25" customHeight="1">
      <c r="B315" s="233"/>
      <c r="D315" s="234"/>
      <c r="H315" s="235"/>
      <c r="K315" s="236"/>
      <c r="L315" s="237"/>
      <c r="M315" s="233"/>
      <c r="N315" s="233"/>
      <c r="O315" s="233"/>
      <c r="P315" s="233"/>
      <c r="Q315" s="233"/>
      <c r="R315" s="233"/>
      <c r="S315" s="233"/>
      <c r="T315" s="237"/>
      <c r="U315" s="233"/>
      <c r="V315" s="238"/>
      <c r="W315" s="238"/>
      <c r="AK315" s="242"/>
      <c r="AM315" s="236"/>
    </row>
    <row r="316" ht="14.25" customHeight="1">
      <c r="B316" s="233"/>
      <c r="D316" s="234"/>
      <c r="H316" s="235"/>
      <c r="K316" s="236"/>
      <c r="L316" s="237"/>
      <c r="M316" s="233"/>
      <c r="N316" s="233"/>
      <c r="O316" s="233"/>
      <c r="P316" s="233"/>
      <c r="Q316" s="233"/>
      <c r="R316" s="233"/>
      <c r="S316" s="233"/>
      <c r="T316" s="237"/>
      <c r="U316" s="233"/>
      <c r="V316" s="238"/>
      <c r="W316" s="238"/>
      <c r="AK316" s="242"/>
      <c r="AM316" s="236"/>
    </row>
    <row r="317" ht="14.25" customHeight="1">
      <c r="B317" s="233"/>
      <c r="D317" s="234"/>
      <c r="H317" s="235"/>
      <c r="K317" s="236"/>
      <c r="L317" s="237"/>
      <c r="M317" s="233"/>
      <c r="N317" s="233"/>
      <c r="O317" s="233"/>
      <c r="P317" s="233"/>
      <c r="Q317" s="233"/>
      <c r="R317" s="233"/>
      <c r="S317" s="233"/>
      <c r="T317" s="237"/>
      <c r="U317" s="233"/>
      <c r="V317" s="238"/>
      <c r="W317" s="238"/>
      <c r="AK317" s="242"/>
      <c r="AM317" s="236"/>
    </row>
    <row r="318" ht="14.25" customHeight="1">
      <c r="B318" s="233"/>
      <c r="D318" s="234"/>
      <c r="H318" s="235"/>
      <c r="K318" s="236"/>
      <c r="L318" s="237"/>
      <c r="M318" s="233"/>
      <c r="N318" s="233"/>
      <c r="O318" s="233"/>
      <c r="P318" s="233"/>
      <c r="Q318" s="233"/>
      <c r="R318" s="233"/>
      <c r="S318" s="233"/>
      <c r="T318" s="237"/>
      <c r="U318" s="233"/>
      <c r="V318" s="238"/>
      <c r="W318" s="238"/>
      <c r="AK318" s="242"/>
      <c r="AM318" s="236"/>
    </row>
    <row r="319" ht="14.25" customHeight="1">
      <c r="B319" s="233"/>
      <c r="D319" s="234"/>
      <c r="H319" s="235"/>
      <c r="K319" s="236"/>
      <c r="L319" s="237"/>
      <c r="M319" s="233"/>
      <c r="N319" s="233"/>
      <c r="O319" s="233"/>
      <c r="P319" s="233"/>
      <c r="Q319" s="233"/>
      <c r="R319" s="233"/>
      <c r="S319" s="233"/>
      <c r="T319" s="237"/>
      <c r="U319" s="233"/>
      <c r="V319" s="238"/>
      <c r="W319" s="238"/>
      <c r="AK319" s="242"/>
      <c r="AM319" s="236"/>
    </row>
    <row r="320" ht="14.25" customHeight="1">
      <c r="B320" s="233"/>
      <c r="D320" s="234"/>
      <c r="H320" s="235"/>
      <c r="K320" s="236"/>
      <c r="L320" s="237"/>
      <c r="M320" s="233"/>
      <c r="N320" s="233"/>
      <c r="O320" s="233"/>
      <c r="P320" s="233"/>
      <c r="Q320" s="233"/>
      <c r="R320" s="233"/>
      <c r="S320" s="233"/>
      <c r="T320" s="237"/>
      <c r="U320" s="233"/>
      <c r="V320" s="238"/>
      <c r="W320" s="238"/>
      <c r="AK320" s="242"/>
      <c r="AM320" s="236"/>
    </row>
    <row r="321" ht="14.25" customHeight="1">
      <c r="B321" s="233"/>
      <c r="D321" s="234"/>
      <c r="H321" s="235"/>
      <c r="K321" s="236"/>
      <c r="L321" s="237"/>
      <c r="M321" s="233"/>
      <c r="N321" s="233"/>
      <c r="O321" s="233"/>
      <c r="P321" s="233"/>
      <c r="Q321" s="233"/>
      <c r="R321" s="233"/>
      <c r="S321" s="233"/>
      <c r="T321" s="237"/>
      <c r="U321" s="233"/>
      <c r="V321" s="238"/>
      <c r="W321" s="238"/>
      <c r="AK321" s="242"/>
      <c r="AM321" s="236"/>
    </row>
    <row r="322" ht="14.25" customHeight="1">
      <c r="B322" s="233"/>
      <c r="D322" s="234"/>
      <c r="H322" s="235"/>
      <c r="K322" s="236"/>
      <c r="L322" s="237"/>
      <c r="M322" s="233"/>
      <c r="N322" s="233"/>
      <c r="O322" s="233"/>
      <c r="P322" s="233"/>
      <c r="Q322" s="233"/>
      <c r="R322" s="233"/>
      <c r="S322" s="233"/>
      <c r="T322" s="237"/>
      <c r="U322" s="233"/>
      <c r="V322" s="238"/>
      <c r="W322" s="238"/>
      <c r="AK322" s="242"/>
      <c r="AM322" s="236"/>
    </row>
    <row r="323" ht="14.25" customHeight="1">
      <c r="B323" s="233"/>
      <c r="D323" s="234"/>
      <c r="H323" s="235"/>
      <c r="K323" s="236"/>
      <c r="L323" s="237"/>
      <c r="M323" s="233"/>
      <c r="N323" s="233"/>
      <c r="O323" s="233"/>
      <c r="P323" s="233"/>
      <c r="Q323" s="233"/>
      <c r="R323" s="233"/>
      <c r="S323" s="233"/>
      <c r="T323" s="237"/>
      <c r="U323" s="233"/>
      <c r="V323" s="238"/>
      <c r="W323" s="238"/>
      <c r="AK323" s="242"/>
      <c r="AM323" s="236"/>
    </row>
    <row r="324" ht="14.25" customHeight="1">
      <c r="B324" s="233"/>
      <c r="D324" s="234"/>
      <c r="H324" s="235"/>
      <c r="K324" s="236"/>
      <c r="L324" s="237"/>
      <c r="M324" s="233"/>
      <c r="N324" s="233"/>
      <c r="O324" s="233"/>
      <c r="P324" s="233"/>
      <c r="Q324" s="233"/>
      <c r="R324" s="233"/>
      <c r="S324" s="233"/>
      <c r="T324" s="237"/>
      <c r="U324" s="233"/>
      <c r="V324" s="238"/>
      <c r="W324" s="238"/>
      <c r="AK324" s="242"/>
      <c r="AM324" s="236"/>
    </row>
    <row r="325" ht="14.25" customHeight="1">
      <c r="B325" s="233"/>
      <c r="D325" s="234"/>
      <c r="H325" s="235"/>
      <c r="K325" s="236"/>
      <c r="L325" s="237"/>
      <c r="M325" s="233"/>
      <c r="N325" s="233"/>
      <c r="O325" s="233"/>
      <c r="P325" s="233"/>
      <c r="Q325" s="233"/>
      <c r="R325" s="233"/>
      <c r="S325" s="233"/>
      <c r="T325" s="237"/>
      <c r="U325" s="233"/>
      <c r="V325" s="238"/>
      <c r="W325" s="238"/>
      <c r="AK325" s="242"/>
      <c r="AM325" s="236"/>
    </row>
    <row r="326" ht="14.25" customHeight="1">
      <c r="B326" s="233"/>
      <c r="D326" s="234"/>
      <c r="H326" s="235"/>
      <c r="K326" s="236"/>
      <c r="L326" s="237"/>
      <c r="M326" s="233"/>
      <c r="N326" s="233"/>
      <c r="O326" s="233"/>
      <c r="P326" s="233"/>
      <c r="Q326" s="233"/>
      <c r="R326" s="233"/>
      <c r="S326" s="233"/>
      <c r="T326" s="237"/>
      <c r="U326" s="233"/>
      <c r="V326" s="238"/>
      <c r="W326" s="238"/>
      <c r="AK326" s="242"/>
      <c r="AM326" s="236"/>
    </row>
    <row r="327" ht="14.25" customHeight="1">
      <c r="B327" s="233"/>
      <c r="D327" s="234"/>
      <c r="H327" s="235"/>
      <c r="K327" s="236"/>
      <c r="L327" s="237"/>
      <c r="M327" s="233"/>
      <c r="N327" s="233"/>
      <c r="O327" s="233"/>
      <c r="P327" s="233"/>
      <c r="Q327" s="233"/>
      <c r="R327" s="233"/>
      <c r="S327" s="233"/>
      <c r="T327" s="237"/>
      <c r="U327" s="233"/>
      <c r="V327" s="238"/>
      <c r="W327" s="238"/>
      <c r="AK327" s="242"/>
      <c r="AM327" s="236"/>
    </row>
    <row r="328" ht="14.25" customHeight="1">
      <c r="B328" s="233"/>
      <c r="D328" s="234"/>
      <c r="H328" s="235"/>
      <c r="K328" s="236"/>
      <c r="L328" s="237"/>
      <c r="M328" s="233"/>
      <c r="N328" s="233"/>
      <c r="O328" s="233"/>
      <c r="P328" s="233"/>
      <c r="Q328" s="233"/>
      <c r="R328" s="233"/>
      <c r="S328" s="233"/>
      <c r="T328" s="237"/>
      <c r="U328" s="233"/>
      <c r="V328" s="238"/>
      <c r="W328" s="238"/>
      <c r="AK328" s="242"/>
      <c r="AM328" s="236"/>
    </row>
    <row r="329" ht="14.25" customHeight="1">
      <c r="B329" s="233"/>
      <c r="D329" s="234"/>
      <c r="H329" s="235"/>
      <c r="K329" s="236"/>
      <c r="L329" s="237"/>
      <c r="M329" s="233"/>
      <c r="N329" s="233"/>
      <c r="O329" s="233"/>
      <c r="P329" s="233"/>
      <c r="Q329" s="233"/>
      <c r="R329" s="233"/>
      <c r="S329" s="233"/>
      <c r="T329" s="237"/>
      <c r="U329" s="233"/>
      <c r="V329" s="238"/>
      <c r="W329" s="238"/>
      <c r="AK329" s="242"/>
      <c r="AM329" s="236"/>
    </row>
    <row r="330" ht="14.25" customHeight="1">
      <c r="B330" s="233"/>
      <c r="D330" s="234"/>
      <c r="H330" s="235"/>
      <c r="K330" s="236"/>
      <c r="L330" s="237"/>
      <c r="M330" s="233"/>
      <c r="N330" s="233"/>
      <c r="O330" s="233"/>
      <c r="P330" s="233"/>
      <c r="Q330" s="233"/>
      <c r="R330" s="233"/>
      <c r="S330" s="233"/>
      <c r="T330" s="237"/>
      <c r="U330" s="233"/>
      <c r="V330" s="238"/>
      <c r="W330" s="238"/>
      <c r="AK330" s="242"/>
      <c r="AM330" s="236"/>
    </row>
    <row r="331" ht="14.25" customHeight="1">
      <c r="B331" s="233"/>
      <c r="D331" s="234"/>
      <c r="H331" s="235"/>
      <c r="K331" s="236"/>
      <c r="L331" s="237"/>
      <c r="M331" s="233"/>
      <c r="N331" s="233"/>
      <c r="O331" s="233"/>
      <c r="P331" s="233"/>
      <c r="Q331" s="233"/>
      <c r="R331" s="233"/>
      <c r="S331" s="233"/>
      <c r="T331" s="237"/>
      <c r="U331" s="233"/>
      <c r="V331" s="238"/>
      <c r="W331" s="238"/>
      <c r="AK331" s="242"/>
      <c r="AM331" s="236"/>
    </row>
    <row r="332" ht="14.25" customHeight="1">
      <c r="B332" s="233"/>
      <c r="D332" s="234"/>
      <c r="H332" s="235"/>
      <c r="K332" s="236"/>
      <c r="L332" s="237"/>
      <c r="M332" s="233"/>
      <c r="N332" s="233"/>
      <c r="O332" s="233"/>
      <c r="P332" s="233"/>
      <c r="Q332" s="233"/>
      <c r="R332" s="233"/>
      <c r="S332" s="233"/>
      <c r="T332" s="237"/>
      <c r="U332" s="233"/>
      <c r="V332" s="238"/>
      <c r="W332" s="238"/>
      <c r="AK332" s="242"/>
      <c r="AM332" s="236"/>
    </row>
    <row r="333" ht="14.25" customHeight="1">
      <c r="B333" s="233"/>
      <c r="D333" s="234"/>
      <c r="H333" s="235"/>
      <c r="K333" s="236"/>
      <c r="L333" s="237"/>
      <c r="M333" s="233"/>
      <c r="N333" s="233"/>
      <c r="O333" s="233"/>
      <c r="P333" s="233"/>
      <c r="Q333" s="233"/>
      <c r="R333" s="233"/>
      <c r="S333" s="233"/>
      <c r="T333" s="237"/>
      <c r="U333" s="233"/>
      <c r="V333" s="238"/>
      <c r="W333" s="238"/>
      <c r="AK333" s="242"/>
      <c r="AM333" s="236"/>
    </row>
    <row r="334" ht="14.25" customHeight="1">
      <c r="B334" s="233"/>
      <c r="D334" s="234"/>
      <c r="H334" s="235"/>
      <c r="K334" s="236"/>
      <c r="L334" s="237"/>
      <c r="M334" s="233"/>
      <c r="N334" s="233"/>
      <c r="O334" s="233"/>
      <c r="P334" s="233"/>
      <c r="Q334" s="233"/>
      <c r="R334" s="233"/>
      <c r="S334" s="233"/>
      <c r="T334" s="237"/>
      <c r="U334" s="233"/>
      <c r="V334" s="238"/>
      <c r="W334" s="238"/>
      <c r="AK334" s="242"/>
      <c r="AM334" s="236"/>
    </row>
    <row r="335" ht="14.25" customHeight="1">
      <c r="B335" s="233"/>
      <c r="D335" s="234"/>
      <c r="H335" s="235"/>
      <c r="K335" s="236"/>
      <c r="L335" s="237"/>
      <c r="M335" s="233"/>
      <c r="N335" s="233"/>
      <c r="O335" s="233"/>
      <c r="P335" s="233"/>
      <c r="Q335" s="233"/>
      <c r="R335" s="233"/>
      <c r="S335" s="233"/>
      <c r="T335" s="237"/>
      <c r="U335" s="233"/>
      <c r="V335" s="238"/>
      <c r="W335" s="238"/>
      <c r="AK335" s="242"/>
      <c r="AM335" s="236"/>
    </row>
    <row r="336" ht="14.25" customHeight="1">
      <c r="B336" s="233"/>
      <c r="D336" s="234"/>
      <c r="H336" s="235"/>
      <c r="K336" s="236"/>
      <c r="L336" s="237"/>
      <c r="M336" s="233"/>
      <c r="N336" s="233"/>
      <c r="O336" s="233"/>
      <c r="P336" s="233"/>
      <c r="Q336" s="233"/>
      <c r="R336" s="233"/>
      <c r="S336" s="233"/>
      <c r="T336" s="237"/>
      <c r="U336" s="233"/>
      <c r="V336" s="238"/>
      <c r="W336" s="238"/>
      <c r="AK336" s="242"/>
      <c r="AM336" s="236"/>
    </row>
    <row r="337" ht="14.25" customHeight="1">
      <c r="B337" s="233"/>
      <c r="D337" s="234"/>
      <c r="H337" s="235"/>
      <c r="K337" s="236"/>
      <c r="L337" s="237"/>
      <c r="M337" s="233"/>
      <c r="N337" s="233"/>
      <c r="O337" s="233"/>
      <c r="P337" s="233"/>
      <c r="Q337" s="233"/>
      <c r="R337" s="233"/>
      <c r="S337" s="233"/>
      <c r="T337" s="237"/>
      <c r="U337" s="233"/>
      <c r="V337" s="238"/>
      <c r="W337" s="238"/>
      <c r="AK337" s="242"/>
      <c r="AM337" s="236"/>
    </row>
    <row r="338" ht="14.25" customHeight="1">
      <c r="B338" s="233"/>
      <c r="D338" s="234"/>
      <c r="H338" s="235"/>
      <c r="K338" s="236"/>
      <c r="L338" s="237"/>
      <c r="M338" s="233"/>
      <c r="N338" s="233"/>
      <c r="O338" s="233"/>
      <c r="P338" s="233"/>
      <c r="Q338" s="233"/>
      <c r="R338" s="233"/>
      <c r="S338" s="233"/>
      <c r="T338" s="237"/>
      <c r="U338" s="233"/>
      <c r="V338" s="238"/>
      <c r="W338" s="238"/>
      <c r="AK338" s="242"/>
      <c r="AM338" s="236"/>
    </row>
    <row r="339" ht="14.25" customHeight="1">
      <c r="B339" s="233"/>
      <c r="D339" s="234"/>
      <c r="H339" s="235"/>
      <c r="K339" s="236"/>
      <c r="L339" s="237"/>
      <c r="M339" s="233"/>
      <c r="N339" s="233"/>
      <c r="O339" s="233"/>
      <c r="P339" s="233"/>
      <c r="Q339" s="233"/>
      <c r="R339" s="233"/>
      <c r="S339" s="233"/>
      <c r="T339" s="237"/>
      <c r="U339" s="233"/>
      <c r="V339" s="238"/>
      <c r="W339" s="238"/>
      <c r="AK339" s="242"/>
      <c r="AM339" s="236"/>
    </row>
    <row r="340" ht="14.25" customHeight="1">
      <c r="B340" s="233"/>
      <c r="D340" s="234"/>
      <c r="H340" s="235"/>
      <c r="K340" s="236"/>
      <c r="L340" s="237"/>
      <c r="M340" s="233"/>
      <c r="N340" s="233"/>
      <c r="O340" s="233"/>
      <c r="P340" s="233"/>
      <c r="Q340" s="233"/>
      <c r="R340" s="233"/>
      <c r="S340" s="233"/>
      <c r="T340" s="237"/>
      <c r="U340" s="233"/>
      <c r="V340" s="238"/>
      <c r="W340" s="238"/>
      <c r="AK340" s="242"/>
      <c r="AM340" s="236"/>
    </row>
    <row r="341" ht="14.25" customHeight="1">
      <c r="B341" s="233"/>
      <c r="D341" s="234"/>
      <c r="H341" s="235"/>
      <c r="K341" s="236"/>
      <c r="L341" s="237"/>
      <c r="M341" s="233"/>
      <c r="N341" s="233"/>
      <c r="O341" s="233"/>
      <c r="P341" s="233"/>
      <c r="Q341" s="233"/>
      <c r="R341" s="233"/>
      <c r="S341" s="233"/>
      <c r="T341" s="237"/>
      <c r="U341" s="233"/>
      <c r="V341" s="238"/>
      <c r="W341" s="238"/>
      <c r="AK341" s="242"/>
      <c r="AM341" s="236"/>
    </row>
    <row r="342" ht="14.25" customHeight="1">
      <c r="B342" s="233"/>
      <c r="D342" s="234"/>
      <c r="H342" s="235"/>
      <c r="K342" s="236"/>
      <c r="L342" s="237"/>
      <c r="M342" s="233"/>
      <c r="N342" s="233"/>
      <c r="O342" s="233"/>
      <c r="P342" s="233"/>
      <c r="Q342" s="233"/>
      <c r="R342" s="233"/>
      <c r="S342" s="233"/>
      <c r="T342" s="237"/>
      <c r="U342" s="233"/>
      <c r="V342" s="238"/>
      <c r="W342" s="238"/>
      <c r="AK342" s="242"/>
      <c r="AM342" s="236"/>
    </row>
    <row r="343" ht="14.25" customHeight="1">
      <c r="B343" s="233"/>
      <c r="D343" s="234"/>
      <c r="H343" s="235"/>
      <c r="K343" s="236"/>
      <c r="L343" s="237"/>
      <c r="M343" s="233"/>
      <c r="N343" s="233"/>
      <c r="O343" s="233"/>
      <c r="P343" s="233"/>
      <c r="Q343" s="233"/>
      <c r="R343" s="233"/>
      <c r="S343" s="233"/>
      <c r="T343" s="237"/>
      <c r="U343" s="233"/>
      <c r="V343" s="238"/>
      <c r="W343" s="238"/>
      <c r="AK343" s="242"/>
      <c r="AM343" s="236"/>
    </row>
    <row r="344" ht="14.25" customHeight="1">
      <c r="B344" s="233"/>
      <c r="D344" s="234"/>
      <c r="H344" s="235"/>
      <c r="K344" s="236"/>
      <c r="L344" s="237"/>
      <c r="M344" s="233"/>
      <c r="N344" s="233"/>
      <c r="O344" s="233"/>
      <c r="P344" s="233"/>
      <c r="Q344" s="233"/>
      <c r="R344" s="233"/>
      <c r="S344" s="233"/>
      <c r="T344" s="237"/>
      <c r="U344" s="233"/>
      <c r="V344" s="238"/>
      <c r="W344" s="238"/>
      <c r="AK344" s="242"/>
      <c r="AM344" s="236"/>
    </row>
    <row r="345" ht="14.25" customHeight="1">
      <c r="B345" s="233"/>
      <c r="D345" s="234"/>
      <c r="H345" s="235"/>
      <c r="K345" s="236"/>
      <c r="L345" s="237"/>
      <c r="M345" s="233"/>
      <c r="N345" s="233"/>
      <c r="O345" s="233"/>
      <c r="P345" s="233"/>
      <c r="Q345" s="233"/>
      <c r="R345" s="233"/>
      <c r="S345" s="233"/>
      <c r="T345" s="237"/>
      <c r="U345" s="233"/>
      <c r="V345" s="238"/>
      <c r="W345" s="238"/>
      <c r="AK345" s="242"/>
      <c r="AM345" s="236"/>
    </row>
    <row r="346" ht="14.25" customHeight="1">
      <c r="B346" s="233"/>
      <c r="D346" s="234"/>
      <c r="H346" s="235"/>
      <c r="K346" s="236"/>
      <c r="L346" s="237"/>
      <c r="M346" s="233"/>
      <c r="N346" s="233"/>
      <c r="O346" s="233"/>
      <c r="P346" s="233"/>
      <c r="Q346" s="233"/>
      <c r="R346" s="233"/>
      <c r="S346" s="233"/>
      <c r="T346" s="237"/>
      <c r="U346" s="233"/>
      <c r="V346" s="238"/>
      <c r="W346" s="238"/>
      <c r="AK346" s="242"/>
      <c r="AM346" s="236"/>
    </row>
    <row r="347" ht="14.25" customHeight="1">
      <c r="B347" s="233"/>
      <c r="D347" s="234"/>
      <c r="H347" s="235"/>
      <c r="K347" s="236"/>
      <c r="L347" s="237"/>
      <c r="M347" s="233"/>
      <c r="N347" s="233"/>
      <c r="O347" s="233"/>
      <c r="P347" s="233"/>
      <c r="Q347" s="233"/>
      <c r="R347" s="233"/>
      <c r="S347" s="233"/>
      <c r="T347" s="237"/>
      <c r="U347" s="233"/>
      <c r="V347" s="238"/>
      <c r="W347" s="238"/>
      <c r="AK347" s="242"/>
      <c r="AM347" s="236"/>
    </row>
    <row r="348" ht="14.25" customHeight="1">
      <c r="B348" s="233"/>
      <c r="D348" s="234"/>
      <c r="H348" s="235"/>
      <c r="K348" s="236"/>
      <c r="L348" s="237"/>
      <c r="M348" s="233"/>
      <c r="N348" s="233"/>
      <c r="O348" s="233"/>
      <c r="P348" s="233"/>
      <c r="Q348" s="233"/>
      <c r="R348" s="233"/>
      <c r="S348" s="233"/>
      <c r="T348" s="237"/>
      <c r="U348" s="233"/>
      <c r="V348" s="238"/>
      <c r="W348" s="238"/>
      <c r="AK348" s="242"/>
      <c r="AM348" s="236"/>
    </row>
    <row r="349" ht="14.25" customHeight="1">
      <c r="B349" s="233"/>
      <c r="D349" s="234"/>
      <c r="H349" s="235"/>
      <c r="K349" s="236"/>
      <c r="L349" s="237"/>
      <c r="M349" s="233"/>
      <c r="N349" s="233"/>
      <c r="O349" s="233"/>
      <c r="P349" s="233"/>
      <c r="Q349" s="233"/>
      <c r="R349" s="233"/>
      <c r="S349" s="233"/>
      <c r="T349" s="237"/>
      <c r="U349" s="233"/>
      <c r="V349" s="238"/>
      <c r="W349" s="238"/>
      <c r="AK349" s="242"/>
      <c r="AM349" s="236"/>
    </row>
    <row r="350" ht="14.25" customHeight="1">
      <c r="B350" s="233"/>
      <c r="D350" s="234"/>
      <c r="H350" s="235"/>
      <c r="K350" s="236"/>
      <c r="L350" s="237"/>
      <c r="M350" s="233"/>
      <c r="N350" s="233"/>
      <c r="O350" s="233"/>
      <c r="P350" s="233"/>
      <c r="Q350" s="233"/>
      <c r="R350" s="233"/>
      <c r="S350" s="233"/>
      <c r="T350" s="237"/>
      <c r="U350" s="233"/>
      <c r="V350" s="238"/>
      <c r="W350" s="238"/>
      <c r="AK350" s="242"/>
      <c r="AM350" s="236"/>
    </row>
    <row r="351" ht="14.25" customHeight="1">
      <c r="B351" s="233"/>
      <c r="D351" s="234"/>
      <c r="H351" s="235"/>
      <c r="K351" s="236"/>
      <c r="L351" s="237"/>
      <c r="M351" s="233"/>
      <c r="N351" s="233"/>
      <c r="O351" s="233"/>
      <c r="P351" s="233"/>
      <c r="Q351" s="233"/>
      <c r="R351" s="233"/>
      <c r="S351" s="233"/>
      <c r="T351" s="237"/>
      <c r="U351" s="233"/>
      <c r="V351" s="238"/>
      <c r="W351" s="238"/>
      <c r="AK351" s="242"/>
      <c r="AM351" s="236"/>
    </row>
    <row r="352" ht="14.25" customHeight="1">
      <c r="B352" s="233"/>
      <c r="D352" s="234"/>
      <c r="H352" s="235"/>
      <c r="K352" s="236"/>
      <c r="L352" s="237"/>
      <c r="M352" s="233"/>
      <c r="N352" s="233"/>
      <c r="O352" s="233"/>
      <c r="P352" s="233"/>
      <c r="Q352" s="233"/>
      <c r="R352" s="233"/>
      <c r="S352" s="233"/>
      <c r="T352" s="237"/>
      <c r="U352" s="233"/>
      <c r="V352" s="238"/>
      <c r="W352" s="238"/>
      <c r="AK352" s="242"/>
      <c r="AM352" s="236"/>
    </row>
    <row r="353" ht="14.25" customHeight="1">
      <c r="B353" s="233"/>
      <c r="D353" s="234"/>
      <c r="H353" s="235"/>
      <c r="K353" s="236"/>
      <c r="L353" s="237"/>
      <c r="M353" s="233"/>
      <c r="N353" s="233"/>
      <c r="O353" s="233"/>
      <c r="P353" s="233"/>
      <c r="Q353" s="233"/>
      <c r="R353" s="233"/>
      <c r="S353" s="233"/>
      <c r="T353" s="237"/>
      <c r="U353" s="233"/>
      <c r="V353" s="238"/>
      <c r="W353" s="238"/>
      <c r="AK353" s="242"/>
      <c r="AM353" s="236"/>
    </row>
    <row r="354" ht="14.25" customHeight="1">
      <c r="B354" s="233"/>
      <c r="D354" s="234"/>
      <c r="H354" s="235"/>
      <c r="K354" s="236"/>
      <c r="L354" s="237"/>
      <c r="M354" s="233"/>
      <c r="N354" s="233"/>
      <c r="O354" s="233"/>
      <c r="P354" s="233"/>
      <c r="Q354" s="233"/>
      <c r="R354" s="233"/>
      <c r="S354" s="233"/>
      <c r="T354" s="237"/>
      <c r="U354" s="233"/>
      <c r="V354" s="238"/>
      <c r="W354" s="238"/>
      <c r="AK354" s="242"/>
      <c r="AM354" s="236"/>
    </row>
    <row r="355" ht="14.25" customHeight="1">
      <c r="B355" s="233"/>
      <c r="D355" s="234"/>
      <c r="H355" s="235"/>
      <c r="K355" s="236"/>
      <c r="L355" s="237"/>
      <c r="M355" s="233"/>
      <c r="N355" s="233"/>
      <c r="O355" s="233"/>
      <c r="P355" s="233"/>
      <c r="Q355" s="233"/>
      <c r="R355" s="233"/>
      <c r="S355" s="233"/>
      <c r="T355" s="237"/>
      <c r="U355" s="233"/>
      <c r="V355" s="238"/>
      <c r="W355" s="238"/>
      <c r="AK355" s="242"/>
      <c r="AM355" s="236"/>
    </row>
    <row r="356" ht="14.25" customHeight="1">
      <c r="B356" s="233"/>
      <c r="D356" s="234"/>
      <c r="H356" s="235"/>
      <c r="K356" s="236"/>
      <c r="L356" s="237"/>
      <c r="M356" s="233"/>
      <c r="N356" s="233"/>
      <c r="O356" s="233"/>
      <c r="P356" s="233"/>
      <c r="Q356" s="233"/>
      <c r="R356" s="233"/>
      <c r="S356" s="233"/>
      <c r="T356" s="237"/>
      <c r="U356" s="233"/>
      <c r="V356" s="238"/>
      <c r="W356" s="238"/>
      <c r="AK356" s="242"/>
      <c r="AM356" s="236"/>
    </row>
    <row r="357" ht="14.25" customHeight="1">
      <c r="B357" s="233"/>
      <c r="D357" s="234"/>
      <c r="H357" s="235"/>
      <c r="K357" s="236"/>
      <c r="L357" s="237"/>
      <c r="M357" s="233"/>
      <c r="N357" s="233"/>
      <c r="O357" s="233"/>
      <c r="P357" s="233"/>
      <c r="Q357" s="233"/>
      <c r="R357" s="233"/>
      <c r="S357" s="233"/>
      <c r="T357" s="237"/>
      <c r="U357" s="233"/>
      <c r="V357" s="238"/>
      <c r="W357" s="238"/>
      <c r="AK357" s="242"/>
      <c r="AM357" s="236"/>
    </row>
    <row r="358" ht="14.25" customHeight="1">
      <c r="B358" s="233"/>
      <c r="D358" s="234"/>
      <c r="H358" s="235"/>
      <c r="K358" s="236"/>
      <c r="L358" s="237"/>
      <c r="M358" s="233"/>
      <c r="N358" s="233"/>
      <c r="O358" s="233"/>
      <c r="P358" s="233"/>
      <c r="Q358" s="233"/>
      <c r="R358" s="233"/>
      <c r="S358" s="233"/>
      <c r="T358" s="237"/>
      <c r="U358" s="233"/>
      <c r="V358" s="238"/>
      <c r="W358" s="238"/>
      <c r="AK358" s="242"/>
      <c r="AM358" s="236"/>
    </row>
    <row r="359" ht="14.25" customHeight="1">
      <c r="B359" s="233"/>
      <c r="D359" s="234"/>
      <c r="H359" s="235"/>
      <c r="K359" s="236"/>
      <c r="L359" s="237"/>
      <c r="M359" s="233"/>
      <c r="N359" s="233"/>
      <c r="O359" s="233"/>
      <c r="P359" s="233"/>
      <c r="Q359" s="233"/>
      <c r="R359" s="233"/>
      <c r="S359" s="233"/>
      <c r="T359" s="237"/>
      <c r="U359" s="233"/>
      <c r="V359" s="238"/>
      <c r="W359" s="238"/>
      <c r="AK359" s="242"/>
      <c r="AM359" s="236"/>
    </row>
    <row r="360" ht="14.25" customHeight="1">
      <c r="B360" s="233"/>
      <c r="D360" s="234"/>
      <c r="H360" s="235"/>
      <c r="K360" s="236"/>
      <c r="L360" s="237"/>
      <c r="M360" s="233"/>
      <c r="N360" s="233"/>
      <c r="O360" s="233"/>
      <c r="P360" s="233"/>
      <c r="Q360" s="233"/>
      <c r="R360" s="233"/>
      <c r="S360" s="233"/>
      <c r="T360" s="237"/>
      <c r="U360" s="233"/>
      <c r="V360" s="238"/>
      <c r="W360" s="238"/>
      <c r="AK360" s="242"/>
      <c r="AM360" s="236"/>
    </row>
    <row r="361" ht="14.25" customHeight="1">
      <c r="B361" s="233"/>
      <c r="D361" s="234"/>
      <c r="H361" s="235"/>
      <c r="K361" s="236"/>
      <c r="L361" s="237"/>
      <c r="M361" s="233"/>
      <c r="N361" s="233"/>
      <c r="O361" s="233"/>
      <c r="P361" s="233"/>
      <c r="Q361" s="233"/>
      <c r="R361" s="233"/>
      <c r="S361" s="233"/>
      <c r="T361" s="237"/>
      <c r="U361" s="233"/>
      <c r="V361" s="238"/>
      <c r="W361" s="238"/>
      <c r="AK361" s="242"/>
      <c r="AM361" s="236"/>
    </row>
    <row r="362" ht="14.25" customHeight="1">
      <c r="B362" s="233"/>
      <c r="D362" s="234"/>
      <c r="H362" s="235"/>
      <c r="K362" s="236"/>
      <c r="L362" s="237"/>
      <c r="M362" s="233"/>
      <c r="N362" s="233"/>
      <c r="O362" s="233"/>
      <c r="P362" s="233"/>
      <c r="Q362" s="233"/>
      <c r="R362" s="233"/>
      <c r="S362" s="233"/>
      <c r="T362" s="237"/>
      <c r="U362" s="233"/>
      <c r="V362" s="238"/>
      <c r="W362" s="238"/>
      <c r="AK362" s="242"/>
      <c r="AM362" s="236"/>
    </row>
    <row r="363" ht="14.25" customHeight="1">
      <c r="B363" s="233"/>
      <c r="D363" s="234"/>
      <c r="H363" s="235"/>
      <c r="K363" s="236"/>
      <c r="L363" s="237"/>
      <c r="M363" s="233"/>
      <c r="N363" s="233"/>
      <c r="O363" s="233"/>
      <c r="P363" s="233"/>
      <c r="Q363" s="233"/>
      <c r="R363" s="233"/>
      <c r="S363" s="233"/>
      <c r="T363" s="237"/>
      <c r="U363" s="233"/>
      <c r="V363" s="238"/>
      <c r="W363" s="238"/>
      <c r="AK363" s="242"/>
      <c r="AM363" s="236"/>
    </row>
    <row r="364" ht="14.25" customHeight="1">
      <c r="B364" s="233"/>
      <c r="D364" s="234"/>
      <c r="H364" s="235"/>
      <c r="K364" s="236"/>
      <c r="L364" s="237"/>
      <c r="M364" s="233"/>
      <c r="N364" s="233"/>
      <c r="O364" s="233"/>
      <c r="P364" s="233"/>
      <c r="Q364" s="233"/>
      <c r="R364" s="233"/>
      <c r="S364" s="233"/>
      <c r="T364" s="237"/>
      <c r="U364" s="233"/>
      <c r="V364" s="238"/>
      <c r="W364" s="238"/>
      <c r="AK364" s="242"/>
      <c r="AM364" s="236"/>
    </row>
    <row r="365" ht="14.25" customHeight="1">
      <c r="B365" s="233"/>
      <c r="D365" s="234"/>
      <c r="H365" s="235"/>
      <c r="K365" s="236"/>
      <c r="L365" s="237"/>
      <c r="M365" s="233"/>
      <c r="N365" s="233"/>
      <c r="O365" s="233"/>
      <c r="P365" s="233"/>
      <c r="Q365" s="233"/>
      <c r="R365" s="233"/>
      <c r="S365" s="233"/>
      <c r="T365" s="237"/>
      <c r="U365" s="233"/>
      <c r="V365" s="238"/>
      <c r="W365" s="238"/>
      <c r="AK365" s="242"/>
      <c r="AM365" s="236"/>
    </row>
    <row r="366" ht="14.25" customHeight="1">
      <c r="B366" s="233"/>
      <c r="D366" s="234"/>
      <c r="H366" s="235"/>
      <c r="K366" s="236"/>
      <c r="L366" s="237"/>
      <c r="M366" s="233"/>
      <c r="N366" s="233"/>
      <c r="O366" s="233"/>
      <c r="P366" s="233"/>
      <c r="Q366" s="233"/>
      <c r="R366" s="233"/>
      <c r="S366" s="233"/>
      <c r="T366" s="237"/>
      <c r="U366" s="233"/>
      <c r="V366" s="238"/>
      <c r="W366" s="238"/>
      <c r="AK366" s="242"/>
      <c r="AM366" s="236"/>
    </row>
    <row r="367" ht="14.25" customHeight="1">
      <c r="B367" s="233"/>
      <c r="D367" s="234"/>
      <c r="H367" s="235"/>
      <c r="K367" s="236"/>
      <c r="L367" s="237"/>
      <c r="M367" s="233"/>
      <c r="N367" s="233"/>
      <c r="O367" s="233"/>
      <c r="P367" s="233"/>
      <c r="Q367" s="233"/>
      <c r="R367" s="233"/>
      <c r="S367" s="233"/>
      <c r="T367" s="237"/>
      <c r="U367" s="233"/>
      <c r="V367" s="238"/>
      <c r="W367" s="238"/>
      <c r="AK367" s="242"/>
      <c r="AM367" s="236"/>
    </row>
    <row r="368" ht="14.25" customHeight="1">
      <c r="B368" s="233"/>
      <c r="D368" s="234"/>
      <c r="H368" s="235"/>
      <c r="K368" s="236"/>
      <c r="L368" s="237"/>
      <c r="M368" s="233"/>
      <c r="N368" s="233"/>
      <c r="O368" s="233"/>
      <c r="P368" s="233"/>
      <c r="Q368" s="233"/>
      <c r="R368" s="233"/>
      <c r="S368" s="233"/>
      <c r="T368" s="237"/>
      <c r="U368" s="233"/>
      <c r="V368" s="238"/>
      <c r="W368" s="238"/>
      <c r="AK368" s="242"/>
      <c r="AM368" s="236"/>
    </row>
    <row r="369" ht="14.25" customHeight="1">
      <c r="B369" s="233"/>
      <c r="D369" s="234"/>
      <c r="H369" s="235"/>
      <c r="K369" s="236"/>
      <c r="L369" s="237"/>
      <c r="M369" s="233"/>
      <c r="N369" s="233"/>
      <c r="O369" s="233"/>
      <c r="P369" s="233"/>
      <c r="Q369" s="233"/>
      <c r="R369" s="233"/>
      <c r="S369" s="233"/>
      <c r="T369" s="237"/>
      <c r="U369" s="233"/>
      <c r="V369" s="238"/>
      <c r="W369" s="238"/>
      <c r="AK369" s="242"/>
      <c r="AM369" s="236"/>
    </row>
    <row r="370" ht="14.25" customHeight="1">
      <c r="B370" s="233"/>
      <c r="D370" s="234"/>
      <c r="H370" s="235"/>
      <c r="K370" s="236"/>
      <c r="L370" s="237"/>
      <c r="M370" s="233"/>
      <c r="N370" s="233"/>
      <c r="O370" s="233"/>
      <c r="P370" s="233"/>
      <c r="Q370" s="233"/>
      <c r="R370" s="233"/>
      <c r="S370" s="233"/>
      <c r="T370" s="237"/>
      <c r="U370" s="233"/>
      <c r="V370" s="238"/>
      <c r="W370" s="238"/>
      <c r="AK370" s="242"/>
      <c r="AM370" s="236"/>
    </row>
    <row r="371" ht="14.25" customHeight="1">
      <c r="B371" s="233"/>
      <c r="D371" s="234"/>
      <c r="H371" s="235"/>
      <c r="K371" s="236"/>
      <c r="L371" s="237"/>
      <c r="M371" s="233"/>
      <c r="N371" s="233"/>
      <c r="O371" s="233"/>
      <c r="P371" s="233"/>
      <c r="Q371" s="233"/>
      <c r="R371" s="233"/>
      <c r="S371" s="233"/>
      <c r="T371" s="237"/>
      <c r="U371" s="233"/>
      <c r="V371" s="238"/>
      <c r="W371" s="238"/>
      <c r="AK371" s="242"/>
      <c r="AM371" s="236"/>
    </row>
    <row r="372" ht="14.25" customHeight="1">
      <c r="B372" s="233"/>
      <c r="D372" s="234"/>
      <c r="H372" s="235"/>
      <c r="K372" s="236"/>
      <c r="L372" s="237"/>
      <c r="M372" s="233"/>
      <c r="N372" s="233"/>
      <c r="O372" s="233"/>
      <c r="P372" s="233"/>
      <c r="Q372" s="233"/>
      <c r="R372" s="233"/>
      <c r="S372" s="233"/>
      <c r="T372" s="237"/>
      <c r="U372" s="233"/>
      <c r="V372" s="238"/>
      <c r="W372" s="238"/>
      <c r="AK372" s="242"/>
      <c r="AM372" s="236"/>
    </row>
    <row r="373" ht="14.25" customHeight="1">
      <c r="B373" s="233"/>
      <c r="D373" s="234"/>
      <c r="H373" s="235"/>
      <c r="K373" s="236"/>
      <c r="L373" s="237"/>
      <c r="M373" s="233"/>
      <c r="N373" s="233"/>
      <c r="O373" s="233"/>
      <c r="P373" s="233"/>
      <c r="Q373" s="233"/>
      <c r="R373" s="233"/>
      <c r="S373" s="233"/>
      <c r="T373" s="237"/>
      <c r="U373" s="233"/>
      <c r="V373" s="238"/>
      <c r="W373" s="238"/>
      <c r="AK373" s="242"/>
      <c r="AM373" s="236"/>
    </row>
    <row r="374" ht="14.25" customHeight="1">
      <c r="B374" s="233"/>
      <c r="D374" s="234"/>
      <c r="H374" s="235"/>
      <c r="K374" s="236"/>
      <c r="L374" s="237"/>
      <c r="M374" s="233"/>
      <c r="N374" s="233"/>
      <c r="O374" s="233"/>
      <c r="P374" s="233"/>
      <c r="Q374" s="233"/>
      <c r="R374" s="233"/>
      <c r="S374" s="233"/>
      <c r="T374" s="237"/>
      <c r="U374" s="233"/>
      <c r="V374" s="238"/>
      <c r="W374" s="238"/>
      <c r="AK374" s="242"/>
      <c r="AM374" s="236"/>
    </row>
    <row r="375" ht="14.25" customHeight="1">
      <c r="B375" s="233"/>
      <c r="D375" s="234"/>
      <c r="H375" s="235"/>
      <c r="K375" s="236"/>
      <c r="L375" s="237"/>
      <c r="M375" s="233"/>
      <c r="N375" s="233"/>
      <c r="O375" s="233"/>
      <c r="P375" s="233"/>
      <c r="Q375" s="233"/>
      <c r="R375" s="233"/>
      <c r="S375" s="233"/>
      <c r="T375" s="237"/>
      <c r="U375" s="233"/>
      <c r="V375" s="238"/>
      <c r="W375" s="238"/>
      <c r="AK375" s="242"/>
      <c r="AM375" s="236"/>
    </row>
    <row r="376" ht="14.25" customHeight="1">
      <c r="B376" s="233"/>
      <c r="D376" s="234"/>
      <c r="H376" s="235"/>
      <c r="K376" s="236"/>
      <c r="L376" s="237"/>
      <c r="M376" s="233"/>
      <c r="N376" s="233"/>
      <c r="O376" s="233"/>
      <c r="P376" s="233"/>
      <c r="Q376" s="233"/>
      <c r="R376" s="233"/>
      <c r="S376" s="233"/>
      <c r="T376" s="237"/>
      <c r="U376" s="233"/>
      <c r="V376" s="238"/>
      <c r="W376" s="238"/>
      <c r="AK376" s="242"/>
      <c r="AM376" s="236"/>
    </row>
    <row r="377" ht="14.25" customHeight="1">
      <c r="B377" s="233"/>
      <c r="D377" s="234"/>
      <c r="H377" s="235"/>
      <c r="K377" s="236"/>
      <c r="L377" s="237"/>
      <c r="M377" s="233"/>
      <c r="N377" s="233"/>
      <c r="O377" s="233"/>
      <c r="P377" s="233"/>
      <c r="Q377" s="233"/>
      <c r="R377" s="233"/>
      <c r="S377" s="233"/>
      <c r="T377" s="237"/>
      <c r="U377" s="233"/>
      <c r="V377" s="238"/>
      <c r="W377" s="238"/>
      <c r="AK377" s="242"/>
      <c r="AM377" s="236"/>
    </row>
    <row r="378" ht="14.25" customHeight="1">
      <c r="B378" s="233"/>
      <c r="D378" s="234"/>
      <c r="H378" s="235"/>
      <c r="K378" s="236"/>
      <c r="L378" s="237"/>
      <c r="M378" s="233"/>
      <c r="N378" s="233"/>
      <c r="O378" s="233"/>
      <c r="P378" s="233"/>
      <c r="Q378" s="233"/>
      <c r="R378" s="233"/>
      <c r="S378" s="233"/>
      <c r="T378" s="237"/>
      <c r="U378" s="233"/>
      <c r="V378" s="238"/>
      <c r="W378" s="238"/>
      <c r="AK378" s="242"/>
      <c r="AM378" s="236"/>
    </row>
    <row r="379" ht="14.25" customHeight="1">
      <c r="B379" s="233"/>
      <c r="D379" s="234"/>
      <c r="H379" s="235"/>
      <c r="K379" s="236"/>
      <c r="L379" s="237"/>
      <c r="M379" s="233"/>
      <c r="N379" s="233"/>
      <c r="O379" s="233"/>
      <c r="P379" s="233"/>
      <c r="Q379" s="233"/>
      <c r="R379" s="233"/>
      <c r="S379" s="233"/>
      <c r="T379" s="237"/>
      <c r="U379" s="233"/>
      <c r="V379" s="238"/>
      <c r="W379" s="238"/>
      <c r="AK379" s="242"/>
      <c r="AM379" s="236"/>
    </row>
    <row r="380" ht="14.25" customHeight="1">
      <c r="B380" s="233"/>
      <c r="D380" s="234"/>
      <c r="H380" s="235"/>
      <c r="K380" s="236"/>
      <c r="L380" s="237"/>
      <c r="M380" s="233"/>
      <c r="N380" s="233"/>
      <c r="O380" s="233"/>
      <c r="P380" s="233"/>
      <c r="Q380" s="233"/>
      <c r="R380" s="233"/>
      <c r="S380" s="233"/>
      <c r="T380" s="237"/>
      <c r="U380" s="233"/>
      <c r="V380" s="238"/>
      <c r="W380" s="238"/>
      <c r="AK380" s="242"/>
      <c r="AM380" s="236"/>
    </row>
    <row r="381" ht="14.25" customHeight="1">
      <c r="B381" s="233"/>
      <c r="D381" s="234"/>
      <c r="H381" s="235"/>
      <c r="K381" s="236"/>
      <c r="L381" s="237"/>
      <c r="M381" s="233"/>
      <c r="N381" s="233"/>
      <c r="O381" s="233"/>
      <c r="P381" s="233"/>
      <c r="Q381" s="233"/>
      <c r="R381" s="233"/>
      <c r="S381" s="233"/>
      <c r="T381" s="237"/>
      <c r="U381" s="233"/>
      <c r="V381" s="238"/>
      <c r="W381" s="238"/>
      <c r="AK381" s="242"/>
      <c r="AM381" s="236"/>
    </row>
    <row r="382" ht="14.25" customHeight="1">
      <c r="B382" s="233"/>
      <c r="D382" s="234"/>
      <c r="H382" s="235"/>
      <c r="K382" s="236"/>
      <c r="L382" s="237"/>
      <c r="M382" s="233"/>
      <c r="N382" s="233"/>
      <c r="O382" s="233"/>
      <c r="P382" s="233"/>
      <c r="Q382" s="233"/>
      <c r="R382" s="233"/>
      <c r="S382" s="233"/>
      <c r="T382" s="237"/>
      <c r="U382" s="233"/>
      <c r="V382" s="238"/>
      <c r="W382" s="238"/>
      <c r="AK382" s="242"/>
      <c r="AM382" s="236"/>
    </row>
    <row r="383" ht="14.25" customHeight="1">
      <c r="B383" s="233"/>
      <c r="D383" s="234"/>
      <c r="H383" s="235"/>
      <c r="K383" s="236"/>
      <c r="L383" s="237"/>
      <c r="M383" s="233"/>
      <c r="N383" s="233"/>
      <c r="O383" s="233"/>
      <c r="P383" s="233"/>
      <c r="Q383" s="233"/>
      <c r="R383" s="233"/>
      <c r="S383" s="233"/>
      <c r="T383" s="237"/>
      <c r="U383" s="233"/>
      <c r="V383" s="238"/>
      <c r="W383" s="238"/>
      <c r="AK383" s="242"/>
      <c r="AM383" s="236"/>
    </row>
    <row r="384" ht="14.25" customHeight="1">
      <c r="B384" s="233"/>
      <c r="D384" s="234"/>
      <c r="H384" s="235"/>
      <c r="K384" s="236"/>
      <c r="L384" s="237"/>
      <c r="M384" s="233"/>
      <c r="N384" s="233"/>
      <c r="O384" s="233"/>
      <c r="P384" s="233"/>
      <c r="Q384" s="233"/>
      <c r="R384" s="233"/>
      <c r="S384" s="233"/>
      <c r="T384" s="237"/>
      <c r="U384" s="233"/>
      <c r="V384" s="238"/>
      <c r="W384" s="238"/>
      <c r="AK384" s="242"/>
      <c r="AM384" s="236"/>
    </row>
    <row r="385" ht="14.25" customHeight="1">
      <c r="B385" s="233"/>
      <c r="D385" s="234"/>
      <c r="H385" s="235"/>
      <c r="K385" s="236"/>
      <c r="L385" s="237"/>
      <c r="M385" s="233"/>
      <c r="N385" s="233"/>
      <c r="O385" s="233"/>
      <c r="P385" s="233"/>
      <c r="Q385" s="233"/>
      <c r="R385" s="233"/>
      <c r="S385" s="233"/>
      <c r="T385" s="237"/>
      <c r="U385" s="233"/>
      <c r="V385" s="238"/>
      <c r="W385" s="238"/>
      <c r="AK385" s="242"/>
      <c r="AM385" s="236"/>
    </row>
    <row r="386" ht="14.25" customHeight="1">
      <c r="B386" s="233"/>
      <c r="D386" s="234"/>
      <c r="H386" s="235"/>
      <c r="K386" s="236"/>
      <c r="L386" s="237"/>
      <c r="M386" s="233"/>
      <c r="N386" s="233"/>
      <c r="O386" s="233"/>
      <c r="P386" s="233"/>
      <c r="Q386" s="233"/>
      <c r="R386" s="233"/>
      <c r="S386" s="233"/>
      <c r="T386" s="237"/>
      <c r="U386" s="233"/>
      <c r="V386" s="238"/>
      <c r="W386" s="238"/>
      <c r="AK386" s="242"/>
      <c r="AM386" s="236"/>
    </row>
    <row r="387" ht="14.25" customHeight="1">
      <c r="B387" s="233"/>
      <c r="D387" s="234"/>
      <c r="H387" s="235"/>
      <c r="K387" s="236"/>
      <c r="L387" s="237"/>
      <c r="M387" s="233"/>
      <c r="N387" s="233"/>
      <c r="O387" s="233"/>
      <c r="P387" s="233"/>
      <c r="Q387" s="233"/>
      <c r="R387" s="233"/>
      <c r="S387" s="233"/>
      <c r="T387" s="237"/>
      <c r="U387" s="233"/>
      <c r="V387" s="238"/>
      <c r="W387" s="238"/>
      <c r="AK387" s="242"/>
      <c r="AM387" s="236"/>
    </row>
    <row r="388" ht="14.25" customHeight="1">
      <c r="B388" s="233"/>
      <c r="D388" s="234"/>
      <c r="H388" s="235"/>
      <c r="K388" s="236"/>
      <c r="L388" s="237"/>
      <c r="M388" s="233"/>
      <c r="N388" s="233"/>
      <c r="O388" s="233"/>
      <c r="P388" s="233"/>
      <c r="Q388" s="233"/>
      <c r="R388" s="233"/>
      <c r="S388" s="233"/>
      <c r="T388" s="237"/>
      <c r="U388" s="233"/>
      <c r="V388" s="238"/>
      <c r="W388" s="238"/>
      <c r="AK388" s="242"/>
      <c r="AM388" s="236"/>
    </row>
    <row r="389" ht="14.25" customHeight="1">
      <c r="B389" s="233"/>
      <c r="D389" s="234"/>
      <c r="H389" s="235"/>
      <c r="K389" s="236"/>
      <c r="L389" s="237"/>
      <c r="M389" s="233"/>
      <c r="N389" s="233"/>
      <c r="O389" s="233"/>
      <c r="P389" s="233"/>
      <c r="Q389" s="233"/>
      <c r="R389" s="233"/>
      <c r="S389" s="233"/>
      <c r="T389" s="237"/>
      <c r="U389" s="233"/>
      <c r="V389" s="238"/>
      <c r="W389" s="238"/>
      <c r="AK389" s="242"/>
      <c r="AM389" s="236"/>
    </row>
    <row r="390" ht="14.25" customHeight="1">
      <c r="B390" s="233"/>
      <c r="D390" s="234"/>
      <c r="H390" s="235"/>
      <c r="K390" s="236"/>
      <c r="L390" s="237"/>
      <c r="M390" s="233"/>
      <c r="N390" s="233"/>
      <c r="O390" s="233"/>
      <c r="P390" s="233"/>
      <c r="Q390" s="233"/>
      <c r="R390" s="233"/>
      <c r="S390" s="233"/>
      <c r="T390" s="237"/>
      <c r="U390" s="233"/>
      <c r="V390" s="238"/>
      <c r="W390" s="238"/>
      <c r="AK390" s="242"/>
      <c r="AM390" s="236"/>
    </row>
    <row r="391" ht="14.25" customHeight="1">
      <c r="B391" s="233"/>
      <c r="D391" s="234"/>
      <c r="H391" s="235"/>
      <c r="K391" s="236"/>
      <c r="L391" s="237"/>
      <c r="M391" s="233"/>
      <c r="N391" s="233"/>
      <c r="O391" s="233"/>
      <c r="P391" s="233"/>
      <c r="Q391" s="233"/>
      <c r="R391" s="233"/>
      <c r="S391" s="233"/>
      <c r="T391" s="237"/>
      <c r="U391" s="233"/>
      <c r="V391" s="238"/>
      <c r="W391" s="238"/>
      <c r="AK391" s="242"/>
      <c r="AM391" s="236"/>
    </row>
    <row r="392" ht="14.25" customHeight="1">
      <c r="B392" s="233"/>
      <c r="D392" s="234"/>
      <c r="H392" s="235"/>
      <c r="K392" s="236"/>
      <c r="L392" s="237"/>
      <c r="M392" s="233"/>
      <c r="N392" s="233"/>
      <c r="O392" s="233"/>
      <c r="P392" s="233"/>
      <c r="Q392" s="233"/>
      <c r="R392" s="233"/>
      <c r="S392" s="233"/>
      <c r="T392" s="237"/>
      <c r="U392" s="233"/>
      <c r="V392" s="238"/>
      <c r="W392" s="238"/>
      <c r="AK392" s="242"/>
      <c r="AM392" s="236"/>
    </row>
    <row r="393" ht="14.25" customHeight="1">
      <c r="B393" s="233"/>
      <c r="D393" s="234"/>
      <c r="H393" s="235"/>
      <c r="K393" s="236"/>
      <c r="L393" s="237"/>
      <c r="M393" s="233"/>
      <c r="N393" s="233"/>
      <c r="O393" s="233"/>
      <c r="P393" s="233"/>
      <c r="Q393" s="233"/>
      <c r="R393" s="233"/>
      <c r="S393" s="233"/>
      <c r="T393" s="237"/>
      <c r="U393" s="233"/>
      <c r="V393" s="238"/>
      <c r="W393" s="238"/>
      <c r="AK393" s="242"/>
      <c r="AM393" s="236"/>
    </row>
    <row r="394" ht="14.25" customHeight="1">
      <c r="B394" s="233"/>
      <c r="D394" s="234"/>
      <c r="H394" s="235"/>
      <c r="K394" s="236"/>
      <c r="L394" s="237"/>
      <c r="M394" s="233"/>
      <c r="N394" s="233"/>
      <c r="O394" s="233"/>
      <c r="P394" s="233"/>
      <c r="Q394" s="233"/>
      <c r="R394" s="233"/>
      <c r="S394" s="233"/>
      <c r="T394" s="237"/>
      <c r="U394" s="233"/>
      <c r="V394" s="238"/>
      <c r="W394" s="238"/>
      <c r="AK394" s="242"/>
      <c r="AM394" s="236"/>
    </row>
    <row r="395" ht="14.25" customHeight="1">
      <c r="B395" s="233"/>
      <c r="D395" s="234"/>
      <c r="H395" s="235"/>
      <c r="K395" s="236"/>
      <c r="L395" s="237"/>
      <c r="M395" s="233"/>
      <c r="N395" s="233"/>
      <c r="O395" s="233"/>
      <c r="P395" s="233"/>
      <c r="Q395" s="233"/>
      <c r="R395" s="233"/>
      <c r="S395" s="233"/>
      <c r="T395" s="237"/>
      <c r="U395" s="233"/>
      <c r="V395" s="238"/>
      <c r="W395" s="238"/>
      <c r="AK395" s="242"/>
      <c r="AM395" s="236"/>
    </row>
    <row r="396" ht="14.25" customHeight="1">
      <c r="B396" s="233"/>
      <c r="D396" s="234"/>
      <c r="H396" s="235"/>
      <c r="K396" s="236"/>
      <c r="L396" s="237"/>
      <c r="M396" s="233"/>
      <c r="N396" s="233"/>
      <c r="O396" s="233"/>
      <c r="P396" s="233"/>
      <c r="Q396" s="233"/>
      <c r="R396" s="233"/>
      <c r="S396" s="233"/>
      <c r="T396" s="237"/>
      <c r="U396" s="233"/>
      <c r="V396" s="238"/>
      <c r="W396" s="238"/>
      <c r="AK396" s="242"/>
      <c r="AM396" s="236"/>
    </row>
    <row r="397" ht="14.25" customHeight="1">
      <c r="B397" s="233"/>
      <c r="D397" s="234"/>
      <c r="H397" s="235"/>
      <c r="K397" s="236"/>
      <c r="L397" s="237"/>
      <c r="M397" s="233"/>
      <c r="N397" s="233"/>
      <c r="O397" s="233"/>
      <c r="P397" s="233"/>
      <c r="Q397" s="233"/>
      <c r="R397" s="233"/>
      <c r="S397" s="233"/>
      <c r="T397" s="237"/>
      <c r="U397" s="233"/>
      <c r="V397" s="238"/>
      <c r="W397" s="238"/>
      <c r="AK397" s="242"/>
      <c r="AM397" s="236"/>
    </row>
    <row r="398" ht="14.25" customHeight="1">
      <c r="B398" s="233"/>
      <c r="D398" s="234"/>
      <c r="H398" s="235"/>
      <c r="K398" s="236"/>
      <c r="L398" s="237"/>
      <c r="M398" s="233"/>
      <c r="N398" s="233"/>
      <c r="O398" s="233"/>
      <c r="P398" s="233"/>
      <c r="Q398" s="233"/>
      <c r="R398" s="233"/>
      <c r="S398" s="233"/>
      <c r="T398" s="237"/>
      <c r="U398" s="233"/>
      <c r="V398" s="238"/>
      <c r="W398" s="238"/>
      <c r="AK398" s="242"/>
      <c r="AM398" s="236"/>
    </row>
    <row r="399" ht="14.25" customHeight="1">
      <c r="B399" s="233"/>
      <c r="D399" s="234"/>
      <c r="H399" s="235"/>
      <c r="K399" s="236"/>
      <c r="L399" s="237"/>
      <c r="M399" s="233"/>
      <c r="N399" s="233"/>
      <c r="O399" s="233"/>
      <c r="P399" s="233"/>
      <c r="Q399" s="233"/>
      <c r="R399" s="233"/>
      <c r="S399" s="233"/>
      <c r="T399" s="237"/>
      <c r="U399" s="233"/>
      <c r="V399" s="238"/>
      <c r="W399" s="238"/>
      <c r="AK399" s="242"/>
      <c r="AM399" s="236"/>
    </row>
    <row r="400" ht="14.25" customHeight="1">
      <c r="B400" s="233"/>
      <c r="D400" s="234"/>
      <c r="H400" s="235"/>
      <c r="K400" s="236"/>
      <c r="L400" s="237"/>
      <c r="M400" s="233"/>
      <c r="N400" s="233"/>
      <c r="O400" s="233"/>
      <c r="P400" s="233"/>
      <c r="Q400" s="233"/>
      <c r="R400" s="233"/>
      <c r="S400" s="233"/>
      <c r="T400" s="237"/>
      <c r="U400" s="233"/>
      <c r="V400" s="238"/>
      <c r="W400" s="238"/>
      <c r="AK400" s="242"/>
      <c r="AM400" s="236"/>
    </row>
    <row r="401" ht="14.25" customHeight="1">
      <c r="B401" s="233"/>
      <c r="D401" s="234"/>
      <c r="H401" s="235"/>
      <c r="K401" s="236"/>
      <c r="L401" s="237"/>
      <c r="M401" s="233"/>
      <c r="N401" s="233"/>
      <c r="O401" s="233"/>
      <c r="P401" s="233"/>
      <c r="Q401" s="233"/>
      <c r="R401" s="233"/>
      <c r="S401" s="233"/>
      <c r="T401" s="237"/>
      <c r="U401" s="233"/>
      <c r="V401" s="238"/>
      <c r="W401" s="238"/>
      <c r="AK401" s="242"/>
      <c r="AM401" s="236"/>
    </row>
    <row r="402" ht="14.25" customHeight="1">
      <c r="B402" s="233"/>
      <c r="D402" s="234"/>
      <c r="H402" s="235"/>
      <c r="K402" s="236"/>
      <c r="L402" s="237"/>
      <c r="M402" s="233"/>
      <c r="N402" s="233"/>
      <c r="O402" s="233"/>
      <c r="P402" s="233"/>
      <c r="Q402" s="233"/>
      <c r="R402" s="233"/>
      <c r="S402" s="233"/>
      <c r="T402" s="237"/>
      <c r="U402" s="233"/>
      <c r="V402" s="238"/>
      <c r="W402" s="238"/>
      <c r="AK402" s="242"/>
      <c r="AM402" s="236"/>
    </row>
    <row r="403" ht="14.25" customHeight="1">
      <c r="B403" s="233"/>
      <c r="D403" s="234"/>
      <c r="H403" s="235"/>
      <c r="K403" s="236"/>
      <c r="L403" s="237"/>
      <c r="M403" s="233"/>
      <c r="N403" s="233"/>
      <c r="O403" s="233"/>
      <c r="P403" s="233"/>
      <c r="Q403" s="233"/>
      <c r="R403" s="233"/>
      <c r="S403" s="233"/>
      <c r="T403" s="237"/>
      <c r="U403" s="233"/>
      <c r="V403" s="238"/>
      <c r="W403" s="238"/>
      <c r="AK403" s="242"/>
      <c r="AM403" s="236"/>
    </row>
    <row r="404" ht="14.25" customHeight="1">
      <c r="B404" s="233"/>
      <c r="D404" s="234"/>
      <c r="H404" s="235"/>
      <c r="K404" s="236"/>
      <c r="L404" s="237"/>
      <c r="M404" s="233"/>
      <c r="N404" s="233"/>
      <c r="O404" s="233"/>
      <c r="P404" s="233"/>
      <c r="Q404" s="233"/>
      <c r="R404" s="233"/>
      <c r="S404" s="233"/>
      <c r="T404" s="237"/>
      <c r="U404" s="233"/>
      <c r="V404" s="238"/>
      <c r="W404" s="238"/>
      <c r="AK404" s="242"/>
      <c r="AM404" s="236"/>
    </row>
    <row r="405" ht="14.25" customHeight="1">
      <c r="B405" s="233"/>
      <c r="D405" s="234"/>
      <c r="H405" s="235"/>
      <c r="K405" s="236"/>
      <c r="L405" s="237"/>
      <c r="M405" s="233"/>
      <c r="N405" s="233"/>
      <c r="O405" s="233"/>
      <c r="P405" s="233"/>
      <c r="Q405" s="233"/>
      <c r="R405" s="233"/>
      <c r="S405" s="233"/>
      <c r="T405" s="237"/>
      <c r="U405" s="233"/>
      <c r="V405" s="238"/>
      <c r="W405" s="238"/>
      <c r="AK405" s="242"/>
      <c r="AM405" s="236"/>
    </row>
    <row r="406" ht="14.25" customHeight="1">
      <c r="B406" s="233"/>
      <c r="D406" s="234"/>
      <c r="H406" s="235"/>
      <c r="K406" s="236"/>
      <c r="L406" s="237"/>
      <c r="M406" s="233"/>
      <c r="N406" s="233"/>
      <c r="O406" s="233"/>
      <c r="P406" s="233"/>
      <c r="Q406" s="233"/>
      <c r="R406" s="233"/>
      <c r="S406" s="233"/>
      <c r="T406" s="237"/>
      <c r="U406" s="233"/>
      <c r="V406" s="238"/>
      <c r="W406" s="238"/>
      <c r="AK406" s="242"/>
      <c r="AM406" s="236"/>
    </row>
    <row r="407" ht="14.25" customHeight="1">
      <c r="B407" s="233"/>
      <c r="D407" s="234"/>
      <c r="H407" s="235"/>
      <c r="K407" s="236"/>
      <c r="L407" s="237"/>
      <c r="M407" s="233"/>
      <c r="N407" s="233"/>
      <c r="O407" s="233"/>
      <c r="P407" s="233"/>
      <c r="Q407" s="233"/>
      <c r="R407" s="233"/>
      <c r="S407" s="233"/>
      <c r="T407" s="237"/>
      <c r="U407" s="233"/>
      <c r="V407" s="238"/>
      <c r="W407" s="238"/>
      <c r="AK407" s="242"/>
      <c r="AM407" s="236"/>
    </row>
    <row r="408" ht="14.25" customHeight="1">
      <c r="B408" s="233"/>
      <c r="D408" s="234"/>
      <c r="H408" s="235"/>
      <c r="K408" s="236"/>
      <c r="L408" s="237"/>
      <c r="M408" s="233"/>
      <c r="N408" s="233"/>
      <c r="O408" s="233"/>
      <c r="P408" s="233"/>
      <c r="Q408" s="233"/>
      <c r="R408" s="233"/>
      <c r="S408" s="233"/>
      <c r="T408" s="237"/>
      <c r="U408" s="233"/>
      <c r="V408" s="238"/>
      <c r="W408" s="238"/>
      <c r="AK408" s="242"/>
      <c r="AM408" s="236"/>
    </row>
    <row r="409" ht="14.25" customHeight="1">
      <c r="B409" s="233"/>
      <c r="D409" s="234"/>
      <c r="H409" s="235"/>
      <c r="K409" s="236"/>
      <c r="L409" s="237"/>
      <c r="M409" s="233"/>
      <c r="N409" s="233"/>
      <c r="O409" s="233"/>
      <c r="P409" s="233"/>
      <c r="Q409" s="233"/>
      <c r="R409" s="233"/>
      <c r="S409" s="233"/>
      <c r="T409" s="237"/>
      <c r="U409" s="233"/>
      <c r="V409" s="238"/>
      <c r="W409" s="238"/>
      <c r="AK409" s="242"/>
      <c r="AM409" s="236"/>
    </row>
    <row r="410" ht="14.25" customHeight="1">
      <c r="B410" s="233"/>
      <c r="D410" s="234"/>
      <c r="H410" s="235"/>
      <c r="K410" s="236"/>
      <c r="L410" s="237"/>
      <c r="M410" s="233"/>
      <c r="N410" s="233"/>
      <c r="O410" s="233"/>
      <c r="P410" s="233"/>
      <c r="Q410" s="233"/>
      <c r="R410" s="233"/>
      <c r="S410" s="233"/>
      <c r="T410" s="237"/>
      <c r="U410" s="233"/>
      <c r="V410" s="238"/>
      <c r="W410" s="238"/>
      <c r="AK410" s="242"/>
      <c r="AM410" s="236"/>
    </row>
    <row r="411" ht="14.25" customHeight="1">
      <c r="B411" s="233"/>
      <c r="D411" s="234"/>
      <c r="H411" s="235"/>
      <c r="K411" s="236"/>
      <c r="L411" s="237"/>
      <c r="M411" s="233"/>
      <c r="N411" s="233"/>
      <c r="O411" s="233"/>
      <c r="P411" s="233"/>
      <c r="Q411" s="233"/>
      <c r="R411" s="233"/>
      <c r="S411" s="233"/>
      <c r="T411" s="237"/>
      <c r="U411" s="233"/>
      <c r="V411" s="238"/>
      <c r="W411" s="238"/>
      <c r="AK411" s="242"/>
      <c r="AM411" s="236"/>
    </row>
    <row r="412" ht="14.25" customHeight="1">
      <c r="B412" s="233"/>
      <c r="D412" s="234"/>
      <c r="H412" s="235"/>
      <c r="K412" s="236"/>
      <c r="L412" s="237"/>
      <c r="M412" s="233"/>
      <c r="N412" s="233"/>
      <c r="O412" s="233"/>
      <c r="P412" s="233"/>
      <c r="Q412" s="233"/>
      <c r="R412" s="233"/>
      <c r="S412" s="233"/>
      <c r="T412" s="237"/>
      <c r="U412" s="233"/>
      <c r="V412" s="238"/>
      <c r="W412" s="238"/>
      <c r="AK412" s="242"/>
      <c r="AM412" s="236"/>
    </row>
    <row r="413" ht="14.25" customHeight="1">
      <c r="B413" s="233"/>
      <c r="D413" s="234"/>
      <c r="H413" s="235"/>
      <c r="K413" s="236"/>
      <c r="L413" s="237"/>
      <c r="M413" s="233"/>
      <c r="N413" s="233"/>
      <c r="O413" s="233"/>
      <c r="P413" s="233"/>
      <c r="Q413" s="233"/>
      <c r="R413" s="233"/>
      <c r="S413" s="233"/>
      <c r="T413" s="237"/>
      <c r="U413" s="233"/>
      <c r="V413" s="238"/>
      <c r="W413" s="238"/>
      <c r="AK413" s="242"/>
      <c r="AM413" s="236"/>
    </row>
    <row r="414" ht="14.25" customHeight="1">
      <c r="B414" s="233"/>
      <c r="D414" s="234"/>
      <c r="H414" s="235"/>
      <c r="K414" s="236"/>
      <c r="L414" s="237"/>
      <c r="M414" s="233"/>
      <c r="N414" s="233"/>
      <c r="O414" s="233"/>
      <c r="P414" s="233"/>
      <c r="Q414" s="233"/>
      <c r="R414" s="233"/>
      <c r="S414" s="233"/>
      <c r="T414" s="237"/>
      <c r="U414" s="233"/>
      <c r="V414" s="238"/>
      <c r="W414" s="238"/>
      <c r="AK414" s="242"/>
      <c r="AM414" s="236"/>
    </row>
    <row r="415" ht="14.25" customHeight="1">
      <c r="B415" s="233"/>
      <c r="D415" s="234"/>
      <c r="H415" s="235"/>
      <c r="K415" s="236"/>
      <c r="L415" s="237"/>
      <c r="M415" s="233"/>
      <c r="N415" s="233"/>
      <c r="O415" s="233"/>
      <c r="P415" s="233"/>
      <c r="Q415" s="233"/>
      <c r="R415" s="233"/>
      <c r="S415" s="233"/>
      <c r="T415" s="237"/>
      <c r="U415" s="233"/>
      <c r="V415" s="238"/>
      <c r="W415" s="238"/>
      <c r="AK415" s="242"/>
      <c r="AM415" s="236"/>
    </row>
    <row r="416" ht="14.25" customHeight="1">
      <c r="B416" s="233"/>
      <c r="D416" s="234"/>
      <c r="H416" s="235"/>
      <c r="K416" s="236"/>
      <c r="L416" s="237"/>
      <c r="M416" s="233"/>
      <c r="N416" s="233"/>
      <c r="O416" s="233"/>
      <c r="P416" s="233"/>
      <c r="Q416" s="233"/>
      <c r="R416" s="233"/>
      <c r="S416" s="233"/>
      <c r="T416" s="237"/>
      <c r="U416" s="233"/>
      <c r="V416" s="238"/>
      <c r="W416" s="238"/>
      <c r="AK416" s="242"/>
      <c r="AM416" s="236"/>
    </row>
    <row r="417" ht="14.25" customHeight="1">
      <c r="B417" s="233"/>
      <c r="D417" s="234"/>
      <c r="H417" s="235"/>
      <c r="K417" s="236"/>
      <c r="L417" s="237"/>
      <c r="M417" s="233"/>
      <c r="N417" s="233"/>
      <c r="O417" s="233"/>
      <c r="P417" s="233"/>
      <c r="Q417" s="233"/>
      <c r="R417" s="233"/>
      <c r="S417" s="233"/>
      <c r="T417" s="237"/>
      <c r="U417" s="233"/>
      <c r="V417" s="238"/>
      <c r="W417" s="238"/>
      <c r="AK417" s="242"/>
      <c r="AM417" s="236"/>
    </row>
    <row r="418" ht="14.25" customHeight="1">
      <c r="B418" s="233"/>
      <c r="D418" s="234"/>
      <c r="H418" s="235"/>
      <c r="K418" s="236"/>
      <c r="L418" s="237"/>
      <c r="M418" s="233"/>
      <c r="N418" s="233"/>
      <c r="O418" s="233"/>
      <c r="P418" s="233"/>
      <c r="Q418" s="233"/>
      <c r="R418" s="233"/>
      <c r="S418" s="233"/>
      <c r="T418" s="237"/>
      <c r="U418" s="233"/>
      <c r="V418" s="238"/>
      <c r="W418" s="238"/>
      <c r="AK418" s="242"/>
      <c r="AM418" s="236"/>
    </row>
    <row r="419" ht="14.25" customHeight="1">
      <c r="B419" s="233"/>
      <c r="D419" s="234"/>
      <c r="H419" s="235"/>
      <c r="K419" s="236"/>
      <c r="L419" s="237"/>
      <c r="M419" s="233"/>
      <c r="N419" s="233"/>
      <c r="O419" s="233"/>
      <c r="P419" s="233"/>
      <c r="Q419" s="233"/>
      <c r="R419" s="233"/>
      <c r="S419" s="233"/>
      <c r="T419" s="237"/>
      <c r="U419" s="233"/>
      <c r="V419" s="238"/>
      <c r="W419" s="238"/>
      <c r="AK419" s="242"/>
      <c r="AM419" s="236"/>
    </row>
    <row r="420" ht="14.25" customHeight="1">
      <c r="B420" s="233"/>
      <c r="D420" s="234"/>
      <c r="H420" s="235"/>
      <c r="K420" s="236"/>
      <c r="L420" s="237"/>
      <c r="M420" s="233"/>
      <c r="N420" s="233"/>
      <c r="O420" s="233"/>
      <c r="P420" s="233"/>
      <c r="Q420" s="233"/>
      <c r="R420" s="233"/>
      <c r="S420" s="233"/>
      <c r="T420" s="237"/>
      <c r="U420" s="233"/>
      <c r="V420" s="238"/>
      <c r="W420" s="238"/>
      <c r="AK420" s="242"/>
      <c r="AM420" s="236"/>
    </row>
    <row r="421" ht="14.25" customHeight="1">
      <c r="B421" s="233"/>
      <c r="D421" s="234"/>
      <c r="H421" s="235"/>
      <c r="K421" s="236"/>
      <c r="L421" s="237"/>
      <c r="M421" s="233"/>
      <c r="N421" s="233"/>
      <c r="O421" s="233"/>
      <c r="P421" s="233"/>
      <c r="Q421" s="233"/>
      <c r="R421" s="233"/>
      <c r="S421" s="233"/>
      <c r="T421" s="237"/>
      <c r="U421" s="233"/>
      <c r="V421" s="238"/>
      <c r="W421" s="238"/>
      <c r="AK421" s="242"/>
      <c r="AM421" s="236"/>
    </row>
    <row r="422" ht="14.25" customHeight="1">
      <c r="B422" s="233"/>
      <c r="D422" s="234"/>
      <c r="H422" s="235"/>
      <c r="K422" s="236"/>
      <c r="L422" s="237"/>
      <c r="M422" s="233"/>
      <c r="N422" s="233"/>
      <c r="O422" s="233"/>
      <c r="P422" s="233"/>
      <c r="Q422" s="233"/>
      <c r="R422" s="233"/>
      <c r="S422" s="233"/>
      <c r="T422" s="237"/>
      <c r="U422" s="233"/>
      <c r="V422" s="238"/>
      <c r="W422" s="238"/>
      <c r="AK422" s="242"/>
      <c r="AM422" s="236"/>
    </row>
    <row r="423" ht="14.25" customHeight="1">
      <c r="B423" s="233"/>
      <c r="D423" s="234"/>
      <c r="H423" s="235"/>
      <c r="K423" s="236"/>
      <c r="L423" s="237"/>
      <c r="M423" s="233"/>
      <c r="N423" s="233"/>
      <c r="O423" s="233"/>
      <c r="P423" s="233"/>
      <c r="Q423" s="233"/>
      <c r="R423" s="233"/>
      <c r="S423" s="233"/>
      <c r="T423" s="237"/>
      <c r="U423" s="233"/>
      <c r="V423" s="238"/>
      <c r="W423" s="238"/>
      <c r="AK423" s="242"/>
      <c r="AM423" s="236"/>
    </row>
    <row r="424" ht="14.25" customHeight="1">
      <c r="B424" s="233"/>
      <c r="D424" s="234"/>
      <c r="H424" s="235"/>
      <c r="K424" s="236"/>
      <c r="L424" s="237"/>
      <c r="M424" s="233"/>
      <c r="N424" s="233"/>
      <c r="O424" s="233"/>
      <c r="P424" s="233"/>
      <c r="Q424" s="233"/>
      <c r="R424" s="233"/>
      <c r="S424" s="233"/>
      <c r="T424" s="237"/>
      <c r="U424" s="233"/>
      <c r="V424" s="238"/>
      <c r="W424" s="238"/>
      <c r="AK424" s="242"/>
      <c r="AM424" s="236"/>
    </row>
    <row r="425" ht="14.25" customHeight="1">
      <c r="B425" s="233"/>
      <c r="D425" s="234"/>
      <c r="H425" s="235"/>
      <c r="K425" s="236"/>
      <c r="L425" s="237"/>
      <c r="M425" s="233"/>
      <c r="N425" s="233"/>
      <c r="O425" s="233"/>
      <c r="P425" s="233"/>
      <c r="Q425" s="233"/>
      <c r="R425" s="233"/>
      <c r="S425" s="233"/>
      <c r="T425" s="237"/>
      <c r="U425" s="233"/>
      <c r="V425" s="238"/>
      <c r="W425" s="238"/>
      <c r="AK425" s="242"/>
      <c r="AM425" s="236"/>
    </row>
    <row r="426" ht="14.25" customHeight="1">
      <c r="B426" s="233"/>
      <c r="D426" s="234"/>
      <c r="H426" s="235"/>
      <c r="K426" s="236"/>
      <c r="L426" s="237"/>
      <c r="M426" s="233"/>
      <c r="N426" s="233"/>
      <c r="O426" s="233"/>
      <c r="P426" s="233"/>
      <c r="Q426" s="233"/>
      <c r="R426" s="233"/>
      <c r="S426" s="233"/>
      <c r="T426" s="237"/>
      <c r="U426" s="233"/>
      <c r="V426" s="238"/>
      <c r="W426" s="238"/>
      <c r="AK426" s="242"/>
      <c r="AM426" s="236"/>
    </row>
    <row r="427" ht="14.25" customHeight="1">
      <c r="B427" s="233"/>
      <c r="D427" s="234"/>
      <c r="H427" s="235"/>
      <c r="K427" s="236"/>
      <c r="L427" s="237"/>
      <c r="M427" s="233"/>
      <c r="N427" s="233"/>
      <c r="O427" s="233"/>
      <c r="P427" s="233"/>
      <c r="Q427" s="233"/>
      <c r="R427" s="233"/>
      <c r="S427" s="233"/>
      <c r="T427" s="237"/>
      <c r="U427" s="233"/>
      <c r="V427" s="238"/>
      <c r="W427" s="238"/>
      <c r="AK427" s="242"/>
      <c r="AM427" s="236"/>
    </row>
    <row r="428" ht="14.25" customHeight="1">
      <c r="B428" s="233"/>
      <c r="D428" s="234"/>
      <c r="H428" s="235"/>
      <c r="K428" s="236"/>
      <c r="L428" s="237"/>
      <c r="M428" s="233"/>
      <c r="N428" s="233"/>
      <c r="O428" s="233"/>
      <c r="P428" s="233"/>
      <c r="Q428" s="233"/>
      <c r="R428" s="233"/>
      <c r="S428" s="233"/>
      <c r="T428" s="237"/>
      <c r="U428" s="233"/>
      <c r="V428" s="238"/>
      <c r="W428" s="238"/>
      <c r="AK428" s="242"/>
      <c r="AM428" s="236"/>
    </row>
    <row r="429" ht="14.25" customHeight="1">
      <c r="B429" s="233"/>
      <c r="D429" s="234"/>
      <c r="H429" s="235"/>
      <c r="K429" s="236"/>
      <c r="L429" s="237"/>
      <c r="M429" s="233"/>
      <c r="N429" s="233"/>
      <c r="O429" s="233"/>
      <c r="P429" s="233"/>
      <c r="Q429" s="233"/>
      <c r="R429" s="233"/>
      <c r="S429" s="233"/>
      <c r="T429" s="237"/>
      <c r="U429" s="233"/>
      <c r="V429" s="238"/>
      <c r="W429" s="238"/>
      <c r="AK429" s="242"/>
      <c r="AM429" s="236"/>
    </row>
    <row r="430" ht="14.25" customHeight="1">
      <c r="B430" s="233"/>
      <c r="D430" s="234"/>
      <c r="H430" s="235"/>
      <c r="K430" s="236"/>
      <c r="L430" s="237"/>
      <c r="M430" s="233"/>
      <c r="N430" s="233"/>
      <c r="O430" s="233"/>
      <c r="P430" s="233"/>
      <c r="Q430" s="233"/>
      <c r="R430" s="233"/>
      <c r="S430" s="233"/>
      <c r="T430" s="237"/>
      <c r="U430" s="233"/>
      <c r="V430" s="238"/>
      <c r="W430" s="238"/>
      <c r="AK430" s="242"/>
      <c r="AM430" s="236"/>
    </row>
    <row r="431" ht="14.25" customHeight="1">
      <c r="B431" s="233"/>
      <c r="D431" s="234"/>
      <c r="H431" s="235"/>
      <c r="K431" s="236"/>
      <c r="L431" s="237"/>
      <c r="M431" s="233"/>
      <c r="N431" s="233"/>
      <c r="O431" s="233"/>
      <c r="P431" s="233"/>
      <c r="Q431" s="233"/>
      <c r="R431" s="233"/>
      <c r="S431" s="233"/>
      <c r="T431" s="237"/>
      <c r="U431" s="233"/>
      <c r="V431" s="238"/>
      <c r="W431" s="238"/>
      <c r="AK431" s="242"/>
      <c r="AM431" s="236"/>
    </row>
    <row r="432" ht="14.25" customHeight="1">
      <c r="B432" s="233"/>
      <c r="D432" s="234"/>
      <c r="H432" s="235"/>
      <c r="K432" s="236"/>
      <c r="L432" s="237"/>
      <c r="M432" s="233"/>
      <c r="N432" s="233"/>
      <c r="O432" s="233"/>
      <c r="P432" s="233"/>
      <c r="Q432" s="233"/>
      <c r="R432" s="233"/>
      <c r="S432" s="233"/>
      <c r="T432" s="237"/>
      <c r="U432" s="233"/>
      <c r="V432" s="238"/>
      <c r="W432" s="238"/>
      <c r="AK432" s="242"/>
      <c r="AM432" s="236"/>
    </row>
    <row r="433" ht="14.25" customHeight="1">
      <c r="B433" s="233"/>
      <c r="D433" s="234"/>
      <c r="H433" s="235"/>
      <c r="K433" s="236"/>
      <c r="L433" s="237"/>
      <c r="M433" s="233"/>
      <c r="N433" s="233"/>
      <c r="O433" s="233"/>
      <c r="P433" s="233"/>
      <c r="Q433" s="233"/>
      <c r="R433" s="233"/>
      <c r="S433" s="233"/>
      <c r="T433" s="237"/>
      <c r="U433" s="233"/>
      <c r="V433" s="238"/>
      <c r="W433" s="238"/>
      <c r="AK433" s="242"/>
      <c r="AM433" s="236"/>
    </row>
    <row r="434" ht="14.25" customHeight="1">
      <c r="B434" s="233"/>
      <c r="D434" s="234"/>
      <c r="H434" s="235"/>
      <c r="K434" s="236"/>
      <c r="L434" s="237"/>
      <c r="M434" s="233"/>
      <c r="N434" s="233"/>
      <c r="O434" s="233"/>
      <c r="P434" s="233"/>
      <c r="Q434" s="233"/>
      <c r="R434" s="233"/>
      <c r="S434" s="233"/>
      <c r="T434" s="237"/>
      <c r="U434" s="233"/>
      <c r="V434" s="238"/>
      <c r="W434" s="238"/>
      <c r="AK434" s="242"/>
      <c r="AM434" s="236"/>
    </row>
    <row r="435" ht="14.25" customHeight="1">
      <c r="B435" s="233"/>
      <c r="D435" s="234"/>
      <c r="H435" s="235"/>
      <c r="K435" s="236"/>
      <c r="L435" s="237"/>
      <c r="M435" s="233"/>
      <c r="N435" s="233"/>
      <c r="O435" s="233"/>
      <c r="P435" s="233"/>
      <c r="Q435" s="233"/>
      <c r="R435" s="233"/>
      <c r="S435" s="233"/>
      <c r="T435" s="237"/>
      <c r="U435" s="233"/>
      <c r="V435" s="238"/>
      <c r="W435" s="238"/>
      <c r="AK435" s="242"/>
      <c r="AM435" s="236"/>
    </row>
    <row r="436" ht="14.25" customHeight="1">
      <c r="B436" s="233"/>
      <c r="D436" s="234"/>
      <c r="H436" s="235"/>
      <c r="K436" s="236"/>
      <c r="L436" s="237"/>
      <c r="M436" s="233"/>
      <c r="N436" s="233"/>
      <c r="O436" s="233"/>
      <c r="P436" s="233"/>
      <c r="Q436" s="233"/>
      <c r="R436" s="233"/>
      <c r="S436" s="233"/>
      <c r="T436" s="237"/>
      <c r="U436" s="233"/>
      <c r="V436" s="238"/>
      <c r="W436" s="238"/>
      <c r="AK436" s="242"/>
      <c r="AM436" s="236"/>
    </row>
    <row r="437" ht="14.25" customHeight="1">
      <c r="B437" s="233"/>
      <c r="D437" s="234"/>
      <c r="H437" s="235"/>
      <c r="K437" s="236"/>
      <c r="L437" s="237"/>
      <c r="M437" s="233"/>
      <c r="N437" s="233"/>
      <c r="O437" s="233"/>
      <c r="P437" s="233"/>
      <c r="Q437" s="233"/>
      <c r="R437" s="233"/>
      <c r="S437" s="233"/>
      <c r="T437" s="237"/>
      <c r="U437" s="233"/>
      <c r="V437" s="238"/>
      <c r="W437" s="238"/>
      <c r="AK437" s="242"/>
      <c r="AM437" s="236"/>
    </row>
    <row r="438" ht="14.25" customHeight="1">
      <c r="B438" s="233"/>
      <c r="D438" s="234"/>
      <c r="H438" s="235"/>
      <c r="K438" s="236"/>
      <c r="L438" s="237"/>
      <c r="M438" s="233"/>
      <c r="N438" s="233"/>
      <c r="O438" s="233"/>
      <c r="P438" s="233"/>
      <c r="Q438" s="233"/>
      <c r="R438" s="233"/>
      <c r="S438" s="233"/>
      <c r="T438" s="237"/>
      <c r="U438" s="233"/>
      <c r="V438" s="238"/>
      <c r="W438" s="238"/>
      <c r="AK438" s="242"/>
      <c r="AM438" s="236"/>
    </row>
    <row r="439" ht="14.25" customHeight="1">
      <c r="B439" s="233"/>
      <c r="D439" s="234"/>
      <c r="H439" s="235"/>
      <c r="K439" s="236"/>
      <c r="L439" s="237"/>
      <c r="M439" s="233"/>
      <c r="N439" s="233"/>
      <c r="O439" s="233"/>
      <c r="P439" s="233"/>
      <c r="Q439" s="233"/>
      <c r="R439" s="233"/>
      <c r="S439" s="233"/>
      <c r="T439" s="237"/>
      <c r="U439" s="233"/>
      <c r="V439" s="238"/>
      <c r="W439" s="238"/>
      <c r="AK439" s="242"/>
      <c r="AM439" s="236"/>
    </row>
    <row r="440" ht="14.25" customHeight="1">
      <c r="B440" s="233"/>
      <c r="D440" s="234"/>
      <c r="H440" s="235"/>
      <c r="K440" s="236"/>
      <c r="L440" s="237"/>
      <c r="M440" s="233"/>
      <c r="N440" s="233"/>
      <c r="O440" s="233"/>
      <c r="P440" s="233"/>
      <c r="Q440" s="233"/>
      <c r="R440" s="233"/>
      <c r="S440" s="233"/>
      <c r="T440" s="237"/>
      <c r="U440" s="233"/>
      <c r="V440" s="238"/>
      <c r="W440" s="238"/>
      <c r="AK440" s="242"/>
      <c r="AM440" s="236"/>
    </row>
    <row r="441" ht="14.25" customHeight="1">
      <c r="B441" s="233"/>
      <c r="D441" s="234"/>
      <c r="H441" s="235"/>
      <c r="K441" s="236"/>
      <c r="L441" s="237"/>
      <c r="M441" s="233"/>
      <c r="N441" s="233"/>
      <c r="O441" s="233"/>
      <c r="P441" s="233"/>
      <c r="Q441" s="233"/>
      <c r="R441" s="233"/>
      <c r="S441" s="233"/>
      <c r="T441" s="237"/>
      <c r="U441" s="233"/>
      <c r="V441" s="238"/>
      <c r="W441" s="238"/>
      <c r="AK441" s="242"/>
      <c r="AM441" s="236"/>
    </row>
    <row r="442" ht="14.25" customHeight="1">
      <c r="B442" s="233"/>
      <c r="D442" s="234"/>
      <c r="H442" s="235"/>
      <c r="K442" s="236"/>
      <c r="L442" s="237"/>
      <c r="M442" s="233"/>
      <c r="N442" s="233"/>
      <c r="O442" s="233"/>
      <c r="P442" s="233"/>
      <c r="Q442" s="233"/>
      <c r="R442" s="233"/>
      <c r="S442" s="233"/>
      <c r="T442" s="237"/>
      <c r="U442" s="233"/>
      <c r="V442" s="238"/>
      <c r="W442" s="238"/>
      <c r="AK442" s="242"/>
      <c r="AM442" s="236"/>
    </row>
    <row r="443" ht="14.25" customHeight="1">
      <c r="B443" s="233"/>
      <c r="D443" s="234"/>
      <c r="H443" s="235"/>
      <c r="K443" s="236"/>
      <c r="L443" s="237"/>
      <c r="M443" s="233"/>
      <c r="N443" s="233"/>
      <c r="O443" s="233"/>
      <c r="P443" s="233"/>
      <c r="Q443" s="233"/>
      <c r="R443" s="233"/>
      <c r="S443" s="233"/>
      <c r="T443" s="237"/>
      <c r="U443" s="233"/>
      <c r="V443" s="238"/>
      <c r="W443" s="238"/>
      <c r="AK443" s="242"/>
      <c r="AM443" s="236"/>
    </row>
    <row r="444" ht="14.25" customHeight="1">
      <c r="B444" s="233"/>
      <c r="D444" s="234"/>
      <c r="H444" s="235"/>
      <c r="K444" s="236"/>
      <c r="L444" s="237"/>
      <c r="M444" s="233"/>
      <c r="N444" s="233"/>
      <c r="O444" s="233"/>
      <c r="P444" s="233"/>
      <c r="Q444" s="233"/>
      <c r="R444" s="233"/>
      <c r="S444" s="233"/>
      <c r="T444" s="237"/>
      <c r="U444" s="233"/>
      <c r="V444" s="238"/>
      <c r="W444" s="238"/>
      <c r="AK444" s="242"/>
      <c r="AM444" s="236"/>
    </row>
    <row r="445" ht="14.25" customHeight="1">
      <c r="B445" s="233"/>
      <c r="D445" s="234"/>
      <c r="H445" s="235"/>
      <c r="K445" s="236"/>
      <c r="L445" s="237"/>
      <c r="M445" s="233"/>
      <c r="N445" s="233"/>
      <c r="O445" s="233"/>
      <c r="P445" s="233"/>
      <c r="Q445" s="233"/>
      <c r="R445" s="233"/>
      <c r="S445" s="233"/>
      <c r="T445" s="237"/>
      <c r="U445" s="233"/>
      <c r="V445" s="238"/>
      <c r="W445" s="238"/>
      <c r="AK445" s="242"/>
      <c r="AM445" s="236"/>
    </row>
    <row r="446" ht="14.25" customHeight="1">
      <c r="B446" s="233"/>
      <c r="D446" s="234"/>
      <c r="H446" s="235"/>
      <c r="K446" s="236"/>
      <c r="L446" s="237"/>
      <c r="M446" s="233"/>
      <c r="N446" s="233"/>
      <c r="O446" s="233"/>
      <c r="P446" s="233"/>
      <c r="Q446" s="233"/>
      <c r="R446" s="233"/>
      <c r="S446" s="233"/>
      <c r="T446" s="237"/>
      <c r="U446" s="233"/>
      <c r="V446" s="238"/>
      <c r="W446" s="238"/>
      <c r="AK446" s="242"/>
      <c r="AM446" s="236"/>
    </row>
    <row r="447" ht="14.25" customHeight="1">
      <c r="B447" s="233"/>
      <c r="D447" s="234"/>
      <c r="H447" s="235"/>
      <c r="K447" s="236"/>
      <c r="L447" s="237"/>
      <c r="M447" s="233"/>
      <c r="N447" s="233"/>
      <c r="O447" s="233"/>
      <c r="P447" s="233"/>
      <c r="Q447" s="233"/>
      <c r="R447" s="233"/>
      <c r="S447" s="233"/>
      <c r="T447" s="237"/>
      <c r="U447" s="233"/>
      <c r="V447" s="238"/>
      <c r="W447" s="238"/>
      <c r="AK447" s="242"/>
      <c r="AM447" s="236"/>
    </row>
    <row r="448" ht="14.25" customHeight="1">
      <c r="B448" s="233"/>
      <c r="D448" s="234"/>
      <c r="H448" s="235"/>
      <c r="K448" s="236"/>
      <c r="L448" s="237"/>
      <c r="M448" s="233"/>
      <c r="N448" s="233"/>
      <c r="O448" s="233"/>
      <c r="P448" s="233"/>
      <c r="Q448" s="233"/>
      <c r="R448" s="233"/>
      <c r="S448" s="233"/>
      <c r="T448" s="237"/>
      <c r="U448" s="233"/>
      <c r="V448" s="238"/>
      <c r="W448" s="238"/>
      <c r="AK448" s="242"/>
      <c r="AM448" s="236"/>
    </row>
    <row r="449" ht="14.25" customHeight="1">
      <c r="B449" s="233"/>
      <c r="D449" s="234"/>
      <c r="H449" s="235"/>
      <c r="K449" s="236"/>
      <c r="L449" s="237"/>
      <c r="M449" s="233"/>
      <c r="N449" s="233"/>
      <c r="O449" s="233"/>
      <c r="P449" s="233"/>
      <c r="Q449" s="233"/>
      <c r="R449" s="233"/>
      <c r="S449" s="233"/>
      <c r="T449" s="237"/>
      <c r="U449" s="233"/>
      <c r="V449" s="238"/>
      <c r="W449" s="238"/>
      <c r="AK449" s="242"/>
      <c r="AM449" s="236"/>
    </row>
    <row r="450" ht="14.25" customHeight="1">
      <c r="B450" s="233"/>
      <c r="D450" s="234"/>
      <c r="H450" s="235"/>
      <c r="K450" s="236"/>
      <c r="L450" s="237"/>
      <c r="M450" s="233"/>
      <c r="N450" s="233"/>
      <c r="O450" s="233"/>
      <c r="P450" s="233"/>
      <c r="Q450" s="233"/>
      <c r="R450" s="233"/>
      <c r="S450" s="233"/>
      <c r="T450" s="237"/>
      <c r="U450" s="233"/>
      <c r="V450" s="238"/>
      <c r="W450" s="238"/>
      <c r="AK450" s="242"/>
      <c r="AM450" s="236"/>
    </row>
    <row r="451" ht="14.25" customHeight="1">
      <c r="B451" s="233"/>
      <c r="D451" s="234"/>
      <c r="H451" s="235"/>
      <c r="K451" s="236"/>
      <c r="L451" s="237"/>
      <c r="M451" s="233"/>
      <c r="N451" s="233"/>
      <c r="O451" s="233"/>
      <c r="P451" s="233"/>
      <c r="Q451" s="233"/>
      <c r="R451" s="233"/>
      <c r="S451" s="233"/>
      <c r="T451" s="237"/>
      <c r="U451" s="233"/>
      <c r="V451" s="238"/>
      <c r="W451" s="238"/>
      <c r="AK451" s="242"/>
      <c r="AM451" s="236"/>
    </row>
    <row r="452" ht="14.25" customHeight="1">
      <c r="B452" s="233"/>
      <c r="D452" s="234"/>
      <c r="H452" s="235"/>
      <c r="K452" s="236"/>
      <c r="L452" s="237"/>
      <c r="M452" s="233"/>
      <c r="N452" s="233"/>
      <c r="O452" s="233"/>
      <c r="P452" s="233"/>
      <c r="Q452" s="233"/>
      <c r="R452" s="233"/>
      <c r="S452" s="233"/>
      <c r="T452" s="237"/>
      <c r="U452" s="233"/>
      <c r="V452" s="238"/>
      <c r="W452" s="238"/>
      <c r="AK452" s="242"/>
      <c r="AM452" s="236"/>
    </row>
    <row r="453" ht="14.25" customHeight="1">
      <c r="B453" s="233"/>
      <c r="D453" s="234"/>
      <c r="H453" s="235"/>
      <c r="K453" s="236"/>
      <c r="L453" s="237"/>
      <c r="M453" s="233"/>
      <c r="N453" s="233"/>
      <c r="O453" s="233"/>
      <c r="P453" s="233"/>
      <c r="Q453" s="233"/>
      <c r="R453" s="233"/>
      <c r="S453" s="233"/>
      <c r="T453" s="237"/>
      <c r="U453" s="233"/>
      <c r="V453" s="238"/>
      <c r="W453" s="238"/>
      <c r="AK453" s="242"/>
      <c r="AM453" s="236"/>
    </row>
    <row r="454" ht="14.25" customHeight="1">
      <c r="B454" s="233"/>
      <c r="D454" s="234"/>
      <c r="H454" s="235"/>
      <c r="K454" s="236"/>
      <c r="L454" s="237"/>
      <c r="M454" s="233"/>
      <c r="N454" s="233"/>
      <c r="O454" s="233"/>
      <c r="P454" s="233"/>
      <c r="Q454" s="233"/>
      <c r="R454" s="233"/>
      <c r="S454" s="233"/>
      <c r="T454" s="237"/>
      <c r="U454" s="233"/>
      <c r="V454" s="238"/>
      <c r="W454" s="238"/>
      <c r="AK454" s="242"/>
      <c r="AM454" s="236"/>
    </row>
    <row r="455" ht="14.25" customHeight="1">
      <c r="B455" s="233"/>
      <c r="D455" s="234"/>
      <c r="H455" s="235"/>
      <c r="K455" s="236"/>
      <c r="L455" s="237"/>
      <c r="M455" s="233"/>
      <c r="N455" s="233"/>
      <c r="O455" s="233"/>
      <c r="P455" s="233"/>
      <c r="Q455" s="233"/>
      <c r="R455" s="233"/>
      <c r="S455" s="233"/>
      <c r="T455" s="237"/>
      <c r="U455" s="233"/>
      <c r="V455" s="238"/>
      <c r="W455" s="238"/>
      <c r="AK455" s="242"/>
      <c r="AM455" s="236"/>
    </row>
    <row r="456" ht="14.25" customHeight="1">
      <c r="B456" s="233"/>
      <c r="D456" s="234"/>
      <c r="H456" s="235"/>
      <c r="K456" s="236"/>
      <c r="L456" s="237"/>
      <c r="M456" s="233"/>
      <c r="N456" s="233"/>
      <c r="O456" s="233"/>
      <c r="P456" s="233"/>
      <c r="Q456" s="233"/>
      <c r="R456" s="233"/>
      <c r="S456" s="233"/>
      <c r="T456" s="237"/>
      <c r="U456" s="233"/>
      <c r="V456" s="238"/>
      <c r="W456" s="238"/>
      <c r="AK456" s="242"/>
      <c r="AM456" s="236"/>
    </row>
    <row r="457" ht="14.25" customHeight="1">
      <c r="B457" s="233"/>
      <c r="D457" s="234"/>
      <c r="H457" s="235"/>
      <c r="K457" s="236"/>
      <c r="L457" s="237"/>
      <c r="M457" s="233"/>
      <c r="N457" s="233"/>
      <c r="O457" s="233"/>
      <c r="P457" s="233"/>
      <c r="Q457" s="233"/>
      <c r="R457" s="233"/>
      <c r="S457" s="233"/>
      <c r="T457" s="237"/>
      <c r="U457" s="233"/>
      <c r="V457" s="238"/>
      <c r="W457" s="238"/>
      <c r="AK457" s="242"/>
      <c r="AM457" s="236"/>
    </row>
    <row r="458" ht="14.25" customHeight="1">
      <c r="B458" s="233"/>
      <c r="D458" s="234"/>
      <c r="H458" s="235"/>
      <c r="K458" s="236"/>
      <c r="L458" s="237"/>
      <c r="M458" s="233"/>
      <c r="N458" s="233"/>
      <c r="O458" s="233"/>
      <c r="P458" s="233"/>
      <c r="Q458" s="233"/>
      <c r="R458" s="233"/>
      <c r="S458" s="233"/>
      <c r="T458" s="237"/>
      <c r="U458" s="233"/>
      <c r="V458" s="238"/>
      <c r="W458" s="238"/>
      <c r="AK458" s="242"/>
      <c r="AM458" s="236"/>
    </row>
    <row r="459" ht="14.25" customHeight="1">
      <c r="B459" s="233"/>
      <c r="D459" s="234"/>
      <c r="H459" s="235"/>
      <c r="K459" s="236"/>
      <c r="L459" s="237"/>
      <c r="M459" s="233"/>
      <c r="N459" s="233"/>
      <c r="O459" s="233"/>
      <c r="P459" s="233"/>
      <c r="Q459" s="233"/>
      <c r="R459" s="233"/>
      <c r="S459" s="233"/>
      <c r="T459" s="237"/>
      <c r="U459" s="233"/>
      <c r="V459" s="238"/>
      <c r="W459" s="238"/>
      <c r="AK459" s="242"/>
      <c r="AM459" s="236"/>
    </row>
    <row r="460" ht="14.25" customHeight="1">
      <c r="B460" s="233"/>
      <c r="D460" s="234"/>
      <c r="H460" s="235"/>
      <c r="K460" s="236"/>
      <c r="L460" s="237"/>
      <c r="M460" s="233"/>
      <c r="N460" s="233"/>
      <c r="O460" s="233"/>
      <c r="P460" s="233"/>
      <c r="Q460" s="233"/>
      <c r="R460" s="233"/>
      <c r="S460" s="233"/>
      <c r="T460" s="237"/>
      <c r="U460" s="233"/>
      <c r="V460" s="238"/>
      <c r="W460" s="238"/>
      <c r="AK460" s="242"/>
      <c r="AM460" s="236"/>
    </row>
    <row r="461" ht="14.25" customHeight="1">
      <c r="B461" s="233"/>
      <c r="D461" s="234"/>
      <c r="H461" s="235"/>
      <c r="K461" s="236"/>
      <c r="L461" s="237"/>
      <c r="M461" s="233"/>
      <c r="N461" s="233"/>
      <c r="O461" s="233"/>
      <c r="P461" s="233"/>
      <c r="Q461" s="233"/>
      <c r="R461" s="233"/>
      <c r="S461" s="233"/>
      <c r="T461" s="237"/>
      <c r="U461" s="233"/>
      <c r="V461" s="238"/>
      <c r="W461" s="238"/>
      <c r="AK461" s="242"/>
      <c r="AM461" s="236"/>
    </row>
    <row r="462" ht="14.25" customHeight="1">
      <c r="B462" s="233"/>
      <c r="D462" s="234"/>
      <c r="H462" s="235"/>
      <c r="K462" s="236"/>
      <c r="L462" s="237"/>
      <c r="M462" s="233"/>
      <c r="N462" s="233"/>
      <c r="O462" s="233"/>
      <c r="P462" s="233"/>
      <c r="Q462" s="233"/>
      <c r="R462" s="233"/>
      <c r="S462" s="233"/>
      <c r="T462" s="237"/>
      <c r="U462" s="233"/>
      <c r="V462" s="238"/>
      <c r="W462" s="238"/>
      <c r="AK462" s="242"/>
      <c r="AM462" s="236"/>
    </row>
    <row r="463" ht="14.25" customHeight="1">
      <c r="B463" s="233"/>
      <c r="D463" s="234"/>
      <c r="H463" s="235"/>
      <c r="K463" s="236"/>
      <c r="L463" s="237"/>
      <c r="M463" s="233"/>
      <c r="N463" s="233"/>
      <c r="O463" s="233"/>
      <c r="P463" s="233"/>
      <c r="Q463" s="233"/>
      <c r="R463" s="233"/>
      <c r="S463" s="233"/>
      <c r="T463" s="237"/>
      <c r="U463" s="233"/>
      <c r="V463" s="238"/>
      <c r="W463" s="238"/>
      <c r="AK463" s="242"/>
      <c r="AM463" s="236"/>
    </row>
    <row r="464" ht="14.25" customHeight="1">
      <c r="B464" s="233"/>
      <c r="D464" s="234"/>
      <c r="H464" s="235"/>
      <c r="K464" s="236"/>
      <c r="L464" s="237"/>
      <c r="M464" s="233"/>
      <c r="N464" s="233"/>
      <c r="O464" s="233"/>
      <c r="P464" s="233"/>
      <c r="Q464" s="233"/>
      <c r="R464" s="233"/>
      <c r="S464" s="233"/>
      <c r="T464" s="237"/>
      <c r="U464" s="233"/>
      <c r="V464" s="238"/>
      <c r="W464" s="238"/>
      <c r="AK464" s="242"/>
      <c r="AM464" s="236"/>
    </row>
    <row r="465" ht="14.25" customHeight="1">
      <c r="B465" s="233"/>
      <c r="D465" s="234"/>
      <c r="H465" s="235"/>
      <c r="K465" s="236"/>
      <c r="L465" s="237"/>
      <c r="M465" s="233"/>
      <c r="N465" s="233"/>
      <c r="O465" s="233"/>
      <c r="P465" s="233"/>
      <c r="Q465" s="233"/>
      <c r="R465" s="233"/>
      <c r="S465" s="233"/>
      <c r="T465" s="237"/>
      <c r="U465" s="233"/>
      <c r="V465" s="238"/>
      <c r="W465" s="238"/>
      <c r="AK465" s="242"/>
      <c r="AM465" s="236"/>
    </row>
    <row r="466" ht="14.25" customHeight="1">
      <c r="B466" s="233"/>
      <c r="D466" s="234"/>
      <c r="H466" s="235"/>
      <c r="K466" s="236"/>
      <c r="L466" s="237"/>
      <c r="M466" s="233"/>
      <c r="N466" s="233"/>
      <c r="O466" s="233"/>
      <c r="P466" s="233"/>
      <c r="Q466" s="233"/>
      <c r="R466" s="233"/>
      <c r="S466" s="233"/>
      <c r="T466" s="237"/>
      <c r="U466" s="233"/>
      <c r="V466" s="238"/>
      <c r="W466" s="238"/>
      <c r="AK466" s="242"/>
      <c r="AM466" s="236"/>
    </row>
    <row r="467" ht="14.25" customHeight="1">
      <c r="B467" s="233"/>
      <c r="D467" s="234"/>
      <c r="H467" s="235"/>
      <c r="K467" s="236"/>
      <c r="L467" s="237"/>
      <c r="M467" s="233"/>
      <c r="N467" s="233"/>
      <c r="O467" s="233"/>
      <c r="P467" s="233"/>
      <c r="Q467" s="233"/>
      <c r="R467" s="233"/>
      <c r="S467" s="233"/>
      <c r="T467" s="237"/>
      <c r="U467" s="233"/>
      <c r="V467" s="238"/>
      <c r="W467" s="238"/>
      <c r="AK467" s="242"/>
      <c r="AM467" s="236"/>
    </row>
    <row r="468" ht="14.25" customHeight="1">
      <c r="B468" s="233"/>
      <c r="D468" s="234"/>
      <c r="H468" s="235"/>
      <c r="K468" s="236"/>
      <c r="L468" s="237"/>
      <c r="M468" s="233"/>
      <c r="N468" s="233"/>
      <c r="O468" s="233"/>
      <c r="P468" s="233"/>
      <c r="Q468" s="233"/>
      <c r="R468" s="233"/>
      <c r="S468" s="233"/>
      <c r="T468" s="237"/>
      <c r="U468" s="233"/>
      <c r="V468" s="238"/>
      <c r="W468" s="238"/>
      <c r="AK468" s="242"/>
      <c r="AM468" s="236"/>
    </row>
    <row r="469" ht="14.25" customHeight="1">
      <c r="B469" s="233"/>
      <c r="D469" s="234"/>
      <c r="H469" s="235"/>
      <c r="K469" s="236"/>
      <c r="L469" s="237"/>
      <c r="M469" s="233"/>
      <c r="N469" s="233"/>
      <c r="O469" s="233"/>
      <c r="P469" s="233"/>
      <c r="Q469" s="233"/>
      <c r="R469" s="233"/>
      <c r="S469" s="233"/>
      <c r="T469" s="237"/>
      <c r="U469" s="233"/>
      <c r="V469" s="238"/>
      <c r="W469" s="238"/>
      <c r="AK469" s="242"/>
      <c r="AM469" s="236"/>
    </row>
    <row r="470" ht="14.25" customHeight="1">
      <c r="B470" s="233"/>
      <c r="D470" s="234"/>
      <c r="H470" s="235"/>
      <c r="K470" s="236"/>
      <c r="L470" s="237"/>
      <c r="M470" s="233"/>
      <c r="N470" s="233"/>
      <c r="O470" s="233"/>
      <c r="P470" s="233"/>
      <c r="Q470" s="233"/>
      <c r="R470" s="233"/>
      <c r="S470" s="233"/>
      <c r="T470" s="237"/>
      <c r="U470" s="233"/>
      <c r="V470" s="238"/>
      <c r="W470" s="238"/>
      <c r="AK470" s="242"/>
      <c r="AM470" s="236"/>
    </row>
    <row r="471" ht="14.25" customHeight="1">
      <c r="B471" s="233"/>
      <c r="D471" s="234"/>
      <c r="H471" s="235"/>
      <c r="K471" s="236"/>
      <c r="L471" s="237"/>
      <c r="M471" s="233"/>
      <c r="N471" s="233"/>
      <c r="O471" s="233"/>
      <c r="P471" s="233"/>
      <c r="Q471" s="233"/>
      <c r="R471" s="233"/>
      <c r="S471" s="233"/>
      <c r="T471" s="237"/>
      <c r="U471" s="233"/>
      <c r="V471" s="238"/>
      <c r="W471" s="238"/>
      <c r="AK471" s="242"/>
      <c r="AM471" s="236"/>
    </row>
    <row r="472" ht="14.25" customHeight="1">
      <c r="B472" s="233"/>
      <c r="D472" s="234"/>
      <c r="H472" s="235"/>
      <c r="K472" s="236"/>
      <c r="L472" s="237"/>
      <c r="M472" s="233"/>
      <c r="N472" s="233"/>
      <c r="O472" s="233"/>
      <c r="P472" s="233"/>
      <c r="Q472" s="233"/>
      <c r="R472" s="233"/>
      <c r="S472" s="233"/>
      <c r="T472" s="237"/>
      <c r="U472" s="233"/>
      <c r="V472" s="238"/>
      <c r="W472" s="238"/>
      <c r="AK472" s="242"/>
      <c r="AM472" s="236"/>
    </row>
    <row r="473" ht="14.25" customHeight="1">
      <c r="B473" s="233"/>
      <c r="D473" s="234"/>
      <c r="H473" s="235"/>
      <c r="K473" s="236"/>
      <c r="L473" s="237"/>
      <c r="M473" s="233"/>
      <c r="N473" s="233"/>
      <c r="O473" s="233"/>
      <c r="P473" s="233"/>
      <c r="Q473" s="233"/>
      <c r="R473" s="233"/>
      <c r="S473" s="233"/>
      <c r="T473" s="237"/>
      <c r="U473" s="233"/>
      <c r="V473" s="238"/>
      <c r="W473" s="238"/>
      <c r="AK473" s="242"/>
      <c r="AM473" s="236"/>
    </row>
    <row r="474" ht="14.25" customHeight="1">
      <c r="B474" s="233"/>
      <c r="D474" s="234"/>
      <c r="H474" s="235"/>
      <c r="K474" s="236"/>
      <c r="L474" s="237"/>
      <c r="M474" s="233"/>
      <c r="N474" s="233"/>
      <c r="O474" s="233"/>
      <c r="P474" s="233"/>
      <c r="Q474" s="233"/>
      <c r="R474" s="233"/>
      <c r="S474" s="233"/>
      <c r="T474" s="237"/>
      <c r="U474" s="233"/>
      <c r="V474" s="238"/>
      <c r="W474" s="238"/>
      <c r="AK474" s="242"/>
      <c r="AM474" s="236"/>
    </row>
    <row r="475" ht="14.25" customHeight="1">
      <c r="B475" s="233"/>
      <c r="D475" s="234"/>
      <c r="H475" s="235"/>
      <c r="K475" s="236"/>
      <c r="L475" s="237"/>
      <c r="M475" s="233"/>
      <c r="N475" s="233"/>
      <c r="O475" s="233"/>
      <c r="P475" s="233"/>
      <c r="Q475" s="233"/>
      <c r="R475" s="233"/>
      <c r="S475" s="233"/>
      <c r="T475" s="237"/>
      <c r="U475" s="233"/>
      <c r="V475" s="238"/>
      <c r="W475" s="238"/>
      <c r="AK475" s="242"/>
      <c r="AM475" s="236"/>
    </row>
    <row r="476" ht="14.25" customHeight="1">
      <c r="B476" s="233"/>
      <c r="D476" s="234"/>
      <c r="H476" s="235"/>
      <c r="K476" s="236"/>
      <c r="L476" s="237"/>
      <c r="M476" s="233"/>
      <c r="N476" s="233"/>
      <c r="O476" s="233"/>
      <c r="P476" s="233"/>
      <c r="Q476" s="233"/>
      <c r="R476" s="233"/>
      <c r="S476" s="233"/>
      <c r="T476" s="237"/>
      <c r="U476" s="233"/>
      <c r="V476" s="238"/>
      <c r="W476" s="238"/>
      <c r="AK476" s="242"/>
      <c r="AM476" s="236"/>
    </row>
    <row r="477" ht="14.25" customHeight="1">
      <c r="B477" s="233"/>
      <c r="D477" s="234"/>
      <c r="H477" s="235"/>
      <c r="K477" s="236"/>
      <c r="L477" s="237"/>
      <c r="M477" s="233"/>
      <c r="N477" s="233"/>
      <c r="O477" s="233"/>
      <c r="P477" s="233"/>
      <c r="Q477" s="233"/>
      <c r="R477" s="233"/>
      <c r="S477" s="233"/>
      <c r="T477" s="237"/>
      <c r="U477" s="233"/>
      <c r="V477" s="238"/>
      <c r="W477" s="238"/>
      <c r="AK477" s="242"/>
      <c r="AM477" s="236"/>
    </row>
    <row r="478" ht="14.25" customHeight="1">
      <c r="B478" s="233"/>
      <c r="D478" s="234"/>
      <c r="H478" s="235"/>
      <c r="K478" s="236"/>
      <c r="L478" s="237"/>
      <c r="M478" s="233"/>
      <c r="N478" s="233"/>
      <c r="O478" s="233"/>
      <c r="P478" s="233"/>
      <c r="Q478" s="233"/>
      <c r="R478" s="233"/>
      <c r="S478" s="233"/>
      <c r="T478" s="237"/>
      <c r="U478" s="233"/>
      <c r="V478" s="238"/>
      <c r="W478" s="238"/>
      <c r="AK478" s="242"/>
      <c r="AM478" s="236"/>
    </row>
    <row r="479" ht="14.25" customHeight="1">
      <c r="B479" s="233"/>
      <c r="D479" s="234"/>
      <c r="H479" s="235"/>
      <c r="K479" s="236"/>
      <c r="L479" s="237"/>
      <c r="M479" s="233"/>
      <c r="N479" s="233"/>
      <c r="O479" s="233"/>
      <c r="P479" s="233"/>
      <c r="Q479" s="233"/>
      <c r="R479" s="233"/>
      <c r="S479" s="233"/>
      <c r="T479" s="237"/>
      <c r="U479" s="233"/>
      <c r="V479" s="238"/>
      <c r="W479" s="238"/>
      <c r="AK479" s="242"/>
      <c r="AM479" s="236"/>
    </row>
    <row r="480" ht="14.25" customHeight="1">
      <c r="B480" s="233"/>
      <c r="D480" s="234"/>
      <c r="H480" s="235"/>
      <c r="K480" s="236"/>
      <c r="L480" s="237"/>
      <c r="M480" s="233"/>
      <c r="N480" s="233"/>
      <c r="O480" s="233"/>
      <c r="P480" s="233"/>
      <c r="Q480" s="233"/>
      <c r="R480" s="233"/>
      <c r="S480" s="233"/>
      <c r="T480" s="237"/>
      <c r="U480" s="233"/>
      <c r="V480" s="238"/>
      <c r="W480" s="238"/>
      <c r="AK480" s="242"/>
      <c r="AM480" s="236"/>
    </row>
    <row r="481" ht="14.25" customHeight="1">
      <c r="B481" s="233"/>
      <c r="D481" s="234"/>
      <c r="H481" s="235"/>
      <c r="K481" s="236"/>
      <c r="L481" s="237"/>
      <c r="M481" s="233"/>
      <c r="N481" s="233"/>
      <c r="O481" s="233"/>
      <c r="P481" s="233"/>
      <c r="Q481" s="233"/>
      <c r="R481" s="233"/>
      <c r="S481" s="233"/>
      <c r="T481" s="237"/>
      <c r="U481" s="233"/>
      <c r="V481" s="238"/>
      <c r="W481" s="238"/>
      <c r="AK481" s="242"/>
      <c r="AM481" s="236"/>
    </row>
    <row r="482" ht="14.25" customHeight="1">
      <c r="B482" s="233"/>
      <c r="D482" s="234"/>
      <c r="H482" s="235"/>
      <c r="K482" s="236"/>
      <c r="L482" s="237"/>
      <c r="M482" s="233"/>
      <c r="N482" s="233"/>
      <c r="O482" s="233"/>
      <c r="P482" s="233"/>
      <c r="Q482" s="233"/>
      <c r="R482" s="233"/>
      <c r="S482" s="233"/>
      <c r="T482" s="237"/>
      <c r="U482" s="233"/>
      <c r="V482" s="238"/>
      <c r="W482" s="238"/>
      <c r="AK482" s="242"/>
      <c r="AM482" s="236"/>
    </row>
    <row r="483" ht="14.25" customHeight="1">
      <c r="B483" s="233"/>
      <c r="D483" s="234"/>
      <c r="H483" s="235"/>
      <c r="K483" s="236"/>
      <c r="L483" s="237"/>
      <c r="M483" s="233"/>
      <c r="N483" s="233"/>
      <c r="O483" s="233"/>
      <c r="P483" s="233"/>
      <c r="Q483" s="233"/>
      <c r="R483" s="233"/>
      <c r="S483" s="233"/>
      <c r="T483" s="237"/>
      <c r="U483" s="233"/>
      <c r="V483" s="238"/>
      <c r="W483" s="238"/>
      <c r="AK483" s="242"/>
      <c r="AM483" s="236"/>
    </row>
    <row r="484" ht="14.25" customHeight="1">
      <c r="B484" s="233"/>
      <c r="D484" s="234"/>
      <c r="H484" s="235"/>
      <c r="K484" s="236"/>
      <c r="L484" s="237"/>
      <c r="M484" s="233"/>
      <c r="N484" s="233"/>
      <c r="O484" s="233"/>
      <c r="P484" s="233"/>
      <c r="Q484" s="233"/>
      <c r="R484" s="233"/>
      <c r="S484" s="233"/>
      <c r="T484" s="237"/>
      <c r="U484" s="233"/>
      <c r="V484" s="238"/>
      <c r="W484" s="238"/>
      <c r="AK484" s="242"/>
      <c r="AM484" s="236"/>
    </row>
    <row r="485" ht="14.25" customHeight="1">
      <c r="B485" s="233"/>
      <c r="D485" s="234"/>
      <c r="H485" s="235"/>
      <c r="K485" s="236"/>
      <c r="L485" s="237"/>
      <c r="M485" s="233"/>
      <c r="N485" s="233"/>
      <c r="O485" s="233"/>
      <c r="P485" s="233"/>
      <c r="Q485" s="233"/>
      <c r="R485" s="233"/>
      <c r="S485" s="233"/>
      <c r="T485" s="237"/>
      <c r="U485" s="233"/>
      <c r="V485" s="238"/>
      <c r="W485" s="238"/>
      <c r="AK485" s="242"/>
      <c r="AM485" s="236"/>
    </row>
    <row r="486" ht="14.25" customHeight="1">
      <c r="B486" s="233"/>
      <c r="D486" s="234"/>
      <c r="H486" s="235"/>
      <c r="K486" s="236"/>
      <c r="L486" s="237"/>
      <c r="M486" s="233"/>
      <c r="N486" s="233"/>
      <c r="O486" s="233"/>
      <c r="P486" s="233"/>
      <c r="Q486" s="233"/>
      <c r="R486" s="233"/>
      <c r="S486" s="233"/>
      <c r="T486" s="237"/>
      <c r="U486" s="233"/>
      <c r="V486" s="238"/>
      <c r="W486" s="238"/>
      <c r="AK486" s="242"/>
      <c r="AM486" s="236"/>
    </row>
    <row r="487" ht="14.25" customHeight="1">
      <c r="B487" s="233"/>
      <c r="D487" s="234"/>
      <c r="H487" s="235"/>
      <c r="K487" s="236"/>
      <c r="L487" s="237"/>
      <c r="M487" s="233"/>
      <c r="N487" s="233"/>
      <c r="O487" s="233"/>
      <c r="P487" s="233"/>
      <c r="Q487" s="233"/>
      <c r="R487" s="233"/>
      <c r="S487" s="233"/>
      <c r="T487" s="237"/>
      <c r="U487" s="233"/>
      <c r="V487" s="238"/>
      <c r="W487" s="238"/>
      <c r="AK487" s="242"/>
      <c r="AM487" s="236"/>
    </row>
    <row r="488" ht="14.25" customHeight="1">
      <c r="B488" s="233"/>
      <c r="D488" s="234"/>
      <c r="H488" s="235"/>
      <c r="K488" s="236"/>
      <c r="L488" s="237"/>
      <c r="M488" s="233"/>
      <c r="N488" s="233"/>
      <c r="O488" s="233"/>
      <c r="P488" s="233"/>
      <c r="Q488" s="233"/>
      <c r="R488" s="233"/>
      <c r="S488" s="233"/>
      <c r="T488" s="237"/>
      <c r="U488" s="233"/>
      <c r="V488" s="238"/>
      <c r="W488" s="238"/>
      <c r="AK488" s="242"/>
      <c r="AM488" s="236"/>
    </row>
    <row r="489" ht="14.25" customHeight="1">
      <c r="B489" s="233"/>
      <c r="D489" s="234"/>
      <c r="H489" s="235"/>
      <c r="K489" s="236"/>
      <c r="L489" s="237"/>
      <c r="M489" s="233"/>
      <c r="N489" s="233"/>
      <c r="O489" s="233"/>
      <c r="P489" s="233"/>
      <c r="Q489" s="233"/>
      <c r="R489" s="233"/>
      <c r="S489" s="233"/>
      <c r="T489" s="237"/>
      <c r="U489" s="233"/>
      <c r="V489" s="238"/>
      <c r="W489" s="238"/>
      <c r="AK489" s="242"/>
      <c r="AM489" s="236"/>
    </row>
    <row r="490" ht="14.25" customHeight="1">
      <c r="B490" s="233"/>
      <c r="D490" s="234"/>
      <c r="H490" s="235"/>
      <c r="K490" s="236"/>
      <c r="L490" s="237"/>
      <c r="M490" s="233"/>
      <c r="N490" s="233"/>
      <c r="O490" s="233"/>
      <c r="P490" s="233"/>
      <c r="Q490" s="233"/>
      <c r="R490" s="233"/>
      <c r="S490" s="233"/>
      <c r="T490" s="237"/>
      <c r="U490" s="233"/>
      <c r="V490" s="238"/>
      <c r="W490" s="238"/>
      <c r="AK490" s="242"/>
      <c r="AM490" s="236"/>
    </row>
    <row r="491" ht="14.25" customHeight="1">
      <c r="B491" s="233"/>
      <c r="D491" s="234"/>
      <c r="H491" s="235"/>
      <c r="K491" s="236"/>
      <c r="L491" s="237"/>
      <c r="M491" s="233"/>
      <c r="N491" s="233"/>
      <c r="O491" s="233"/>
      <c r="P491" s="233"/>
      <c r="Q491" s="233"/>
      <c r="R491" s="233"/>
      <c r="S491" s="233"/>
      <c r="T491" s="237"/>
      <c r="U491" s="233"/>
      <c r="V491" s="238"/>
      <c r="W491" s="238"/>
      <c r="AK491" s="242"/>
      <c r="AM491" s="236"/>
    </row>
    <row r="492" ht="14.25" customHeight="1">
      <c r="B492" s="233"/>
      <c r="D492" s="234"/>
      <c r="H492" s="235"/>
      <c r="K492" s="236"/>
      <c r="L492" s="237"/>
      <c r="M492" s="233"/>
      <c r="N492" s="233"/>
      <c r="O492" s="233"/>
      <c r="P492" s="233"/>
      <c r="Q492" s="233"/>
      <c r="R492" s="233"/>
      <c r="S492" s="233"/>
      <c r="T492" s="237"/>
      <c r="U492" s="233"/>
      <c r="V492" s="238"/>
      <c r="W492" s="238"/>
      <c r="AK492" s="242"/>
      <c r="AM492" s="236"/>
    </row>
    <row r="493" ht="14.25" customHeight="1">
      <c r="B493" s="233"/>
      <c r="D493" s="234"/>
      <c r="H493" s="235"/>
      <c r="K493" s="236"/>
      <c r="L493" s="237"/>
      <c r="M493" s="233"/>
      <c r="N493" s="233"/>
      <c r="O493" s="233"/>
      <c r="P493" s="233"/>
      <c r="Q493" s="233"/>
      <c r="R493" s="233"/>
      <c r="S493" s="233"/>
      <c r="T493" s="237"/>
      <c r="U493" s="233"/>
      <c r="V493" s="238"/>
      <c r="W493" s="238"/>
      <c r="AK493" s="242"/>
      <c r="AM493" s="236"/>
    </row>
    <row r="494" ht="14.25" customHeight="1">
      <c r="B494" s="233"/>
      <c r="D494" s="234"/>
      <c r="H494" s="235"/>
      <c r="K494" s="236"/>
      <c r="L494" s="237"/>
      <c r="M494" s="233"/>
      <c r="N494" s="233"/>
      <c r="O494" s="233"/>
      <c r="P494" s="233"/>
      <c r="Q494" s="233"/>
      <c r="R494" s="233"/>
      <c r="S494" s="233"/>
      <c r="T494" s="237"/>
      <c r="U494" s="233"/>
      <c r="V494" s="238"/>
      <c r="W494" s="238"/>
      <c r="AK494" s="242"/>
      <c r="AM494" s="236"/>
    </row>
    <row r="495" ht="14.25" customHeight="1">
      <c r="B495" s="233"/>
      <c r="D495" s="234"/>
      <c r="H495" s="235"/>
      <c r="K495" s="236"/>
      <c r="L495" s="237"/>
      <c r="M495" s="233"/>
      <c r="N495" s="233"/>
      <c r="O495" s="233"/>
      <c r="P495" s="233"/>
      <c r="Q495" s="233"/>
      <c r="R495" s="233"/>
      <c r="S495" s="233"/>
      <c r="T495" s="237"/>
      <c r="U495" s="233"/>
      <c r="V495" s="238"/>
      <c r="W495" s="238"/>
      <c r="AK495" s="242"/>
      <c r="AM495" s="236"/>
    </row>
    <row r="496" ht="14.25" customHeight="1">
      <c r="B496" s="233"/>
      <c r="D496" s="234"/>
      <c r="H496" s="235"/>
      <c r="K496" s="236"/>
      <c r="L496" s="237"/>
      <c r="M496" s="233"/>
      <c r="N496" s="233"/>
      <c r="O496" s="233"/>
      <c r="P496" s="233"/>
      <c r="Q496" s="233"/>
      <c r="R496" s="233"/>
      <c r="S496" s="233"/>
      <c r="T496" s="237"/>
      <c r="U496" s="233"/>
      <c r="V496" s="238"/>
      <c r="W496" s="238"/>
      <c r="AK496" s="242"/>
      <c r="AM496" s="236"/>
    </row>
    <row r="497" ht="14.25" customHeight="1">
      <c r="B497" s="233"/>
      <c r="D497" s="234"/>
      <c r="H497" s="235"/>
      <c r="K497" s="236"/>
      <c r="L497" s="237"/>
      <c r="M497" s="233"/>
      <c r="N497" s="233"/>
      <c r="O497" s="233"/>
      <c r="P497" s="233"/>
      <c r="Q497" s="233"/>
      <c r="R497" s="233"/>
      <c r="S497" s="233"/>
      <c r="T497" s="237"/>
      <c r="U497" s="233"/>
      <c r="V497" s="238"/>
      <c r="W497" s="238"/>
      <c r="AK497" s="242"/>
      <c r="AM497" s="236"/>
    </row>
    <row r="498" ht="14.25" customHeight="1">
      <c r="B498" s="233"/>
      <c r="D498" s="234"/>
      <c r="H498" s="235"/>
      <c r="K498" s="236"/>
      <c r="L498" s="237"/>
      <c r="M498" s="233"/>
      <c r="N498" s="233"/>
      <c r="O498" s="233"/>
      <c r="P498" s="233"/>
      <c r="Q498" s="233"/>
      <c r="R498" s="233"/>
      <c r="S498" s="233"/>
      <c r="T498" s="237"/>
      <c r="U498" s="233"/>
      <c r="V498" s="238"/>
      <c r="W498" s="238"/>
      <c r="AK498" s="242"/>
      <c r="AM498" s="236"/>
    </row>
    <row r="499" ht="14.25" customHeight="1">
      <c r="B499" s="233"/>
      <c r="D499" s="234"/>
      <c r="H499" s="235"/>
      <c r="K499" s="236"/>
      <c r="L499" s="237"/>
      <c r="M499" s="233"/>
      <c r="N499" s="233"/>
      <c r="O499" s="233"/>
      <c r="P499" s="233"/>
      <c r="Q499" s="233"/>
      <c r="R499" s="233"/>
      <c r="S499" s="233"/>
      <c r="T499" s="237"/>
      <c r="U499" s="233"/>
      <c r="V499" s="238"/>
      <c r="W499" s="238"/>
      <c r="AK499" s="242"/>
      <c r="AM499" s="236"/>
    </row>
    <row r="500" ht="14.25" customHeight="1">
      <c r="B500" s="233"/>
      <c r="D500" s="234"/>
      <c r="H500" s="235"/>
      <c r="K500" s="236"/>
      <c r="L500" s="237"/>
      <c r="M500" s="233"/>
      <c r="N500" s="233"/>
      <c r="O500" s="233"/>
      <c r="P500" s="233"/>
      <c r="Q500" s="233"/>
      <c r="R500" s="233"/>
      <c r="S500" s="233"/>
      <c r="T500" s="237"/>
      <c r="U500" s="233"/>
      <c r="V500" s="238"/>
      <c r="W500" s="238"/>
      <c r="AK500" s="242"/>
      <c r="AM500" s="236"/>
    </row>
    <row r="501" ht="14.25" customHeight="1">
      <c r="B501" s="233"/>
      <c r="D501" s="234"/>
      <c r="H501" s="235"/>
      <c r="K501" s="236"/>
      <c r="L501" s="237"/>
      <c r="M501" s="233"/>
      <c r="N501" s="233"/>
      <c r="O501" s="233"/>
      <c r="P501" s="233"/>
      <c r="Q501" s="233"/>
      <c r="R501" s="233"/>
      <c r="S501" s="233"/>
      <c r="T501" s="237"/>
      <c r="U501" s="233"/>
      <c r="V501" s="238"/>
      <c r="W501" s="238"/>
      <c r="AK501" s="242"/>
      <c r="AM501" s="236"/>
    </row>
    <row r="502" ht="14.25" customHeight="1">
      <c r="B502" s="233"/>
      <c r="D502" s="234"/>
      <c r="H502" s="235"/>
      <c r="K502" s="236"/>
      <c r="L502" s="237"/>
      <c r="M502" s="233"/>
      <c r="N502" s="233"/>
      <c r="O502" s="233"/>
      <c r="P502" s="233"/>
      <c r="Q502" s="233"/>
      <c r="R502" s="233"/>
      <c r="S502" s="233"/>
      <c r="T502" s="237"/>
      <c r="U502" s="233"/>
      <c r="V502" s="238"/>
      <c r="W502" s="238"/>
      <c r="AK502" s="242"/>
      <c r="AM502" s="236"/>
    </row>
    <row r="503" ht="14.25" customHeight="1">
      <c r="B503" s="233"/>
      <c r="D503" s="234"/>
      <c r="H503" s="235"/>
      <c r="K503" s="236"/>
      <c r="L503" s="237"/>
      <c r="M503" s="233"/>
      <c r="N503" s="233"/>
      <c r="O503" s="233"/>
      <c r="P503" s="233"/>
      <c r="Q503" s="233"/>
      <c r="R503" s="233"/>
      <c r="S503" s="233"/>
      <c r="T503" s="237"/>
      <c r="U503" s="233"/>
      <c r="V503" s="238"/>
      <c r="W503" s="238"/>
      <c r="AK503" s="242"/>
      <c r="AM503" s="236"/>
    </row>
    <row r="504" ht="14.25" customHeight="1">
      <c r="B504" s="233"/>
      <c r="D504" s="234"/>
      <c r="H504" s="235"/>
      <c r="K504" s="236"/>
      <c r="L504" s="237"/>
      <c r="M504" s="233"/>
      <c r="N504" s="233"/>
      <c r="O504" s="233"/>
      <c r="P504" s="233"/>
      <c r="Q504" s="233"/>
      <c r="R504" s="233"/>
      <c r="S504" s="233"/>
      <c r="T504" s="237"/>
      <c r="U504" s="233"/>
      <c r="V504" s="238"/>
      <c r="W504" s="238"/>
      <c r="AK504" s="242"/>
      <c r="AM504" s="236"/>
    </row>
    <row r="505" ht="14.25" customHeight="1">
      <c r="B505" s="233"/>
      <c r="D505" s="234"/>
      <c r="H505" s="235"/>
      <c r="K505" s="236"/>
      <c r="L505" s="237"/>
      <c r="M505" s="233"/>
      <c r="N505" s="233"/>
      <c r="O505" s="233"/>
      <c r="P505" s="233"/>
      <c r="Q505" s="233"/>
      <c r="R505" s="233"/>
      <c r="S505" s="233"/>
      <c r="T505" s="237"/>
      <c r="U505" s="233"/>
      <c r="V505" s="238"/>
      <c r="W505" s="238"/>
      <c r="AK505" s="242"/>
      <c r="AM505" s="236"/>
    </row>
    <row r="506" ht="14.25" customHeight="1">
      <c r="B506" s="233"/>
      <c r="D506" s="234"/>
      <c r="H506" s="235"/>
      <c r="K506" s="236"/>
      <c r="L506" s="237"/>
      <c r="M506" s="233"/>
      <c r="N506" s="233"/>
      <c r="O506" s="233"/>
      <c r="P506" s="233"/>
      <c r="Q506" s="233"/>
      <c r="R506" s="233"/>
      <c r="S506" s="233"/>
      <c r="T506" s="237"/>
      <c r="U506" s="233"/>
      <c r="V506" s="238"/>
      <c r="W506" s="238"/>
      <c r="AK506" s="242"/>
      <c r="AM506" s="236"/>
    </row>
    <row r="507" ht="14.25" customHeight="1">
      <c r="B507" s="233"/>
      <c r="D507" s="234"/>
      <c r="H507" s="235"/>
      <c r="K507" s="236"/>
      <c r="L507" s="237"/>
      <c r="M507" s="233"/>
      <c r="N507" s="233"/>
      <c r="O507" s="233"/>
      <c r="P507" s="233"/>
      <c r="Q507" s="233"/>
      <c r="R507" s="233"/>
      <c r="S507" s="233"/>
      <c r="T507" s="237"/>
      <c r="U507" s="233"/>
      <c r="V507" s="238"/>
      <c r="W507" s="238"/>
      <c r="AK507" s="242"/>
      <c r="AM507" s="236"/>
    </row>
    <row r="508" ht="14.25" customHeight="1">
      <c r="B508" s="233"/>
      <c r="D508" s="234"/>
      <c r="H508" s="235"/>
      <c r="K508" s="236"/>
      <c r="L508" s="237"/>
      <c r="M508" s="233"/>
      <c r="N508" s="233"/>
      <c r="O508" s="233"/>
      <c r="P508" s="233"/>
      <c r="Q508" s="233"/>
      <c r="R508" s="233"/>
      <c r="S508" s="233"/>
      <c r="T508" s="237"/>
      <c r="U508" s="233"/>
      <c r="V508" s="238"/>
      <c r="W508" s="238"/>
      <c r="AK508" s="242"/>
      <c r="AM508" s="236"/>
    </row>
    <row r="509" ht="14.25" customHeight="1">
      <c r="B509" s="233"/>
      <c r="D509" s="234"/>
      <c r="H509" s="235"/>
      <c r="K509" s="236"/>
      <c r="L509" s="237"/>
      <c r="M509" s="233"/>
      <c r="N509" s="233"/>
      <c r="O509" s="233"/>
      <c r="P509" s="233"/>
      <c r="Q509" s="233"/>
      <c r="R509" s="233"/>
      <c r="S509" s="233"/>
      <c r="T509" s="237"/>
      <c r="U509" s="233"/>
      <c r="V509" s="238"/>
      <c r="W509" s="238"/>
      <c r="AK509" s="242"/>
      <c r="AM509" s="236"/>
    </row>
    <row r="510" ht="14.25" customHeight="1">
      <c r="B510" s="233"/>
      <c r="D510" s="234"/>
      <c r="H510" s="235"/>
      <c r="K510" s="236"/>
      <c r="L510" s="237"/>
      <c r="M510" s="233"/>
      <c r="N510" s="233"/>
      <c r="O510" s="233"/>
      <c r="P510" s="233"/>
      <c r="Q510" s="233"/>
      <c r="R510" s="233"/>
      <c r="S510" s="233"/>
      <c r="T510" s="237"/>
      <c r="U510" s="233"/>
      <c r="V510" s="238"/>
      <c r="W510" s="238"/>
      <c r="AK510" s="242"/>
      <c r="AM510" s="236"/>
    </row>
    <row r="511" ht="14.25" customHeight="1">
      <c r="B511" s="233"/>
      <c r="D511" s="234"/>
      <c r="H511" s="235"/>
      <c r="K511" s="236"/>
      <c r="L511" s="237"/>
      <c r="M511" s="233"/>
      <c r="N511" s="233"/>
      <c r="O511" s="233"/>
      <c r="P511" s="233"/>
      <c r="Q511" s="233"/>
      <c r="R511" s="233"/>
      <c r="S511" s="233"/>
      <c r="T511" s="237"/>
      <c r="U511" s="233"/>
      <c r="V511" s="238"/>
      <c r="W511" s="238"/>
      <c r="AK511" s="242"/>
      <c r="AM511" s="236"/>
    </row>
    <row r="512" ht="14.25" customHeight="1">
      <c r="B512" s="233"/>
      <c r="D512" s="234"/>
      <c r="H512" s="235"/>
      <c r="K512" s="236"/>
      <c r="L512" s="237"/>
      <c r="M512" s="233"/>
      <c r="N512" s="233"/>
      <c r="O512" s="233"/>
      <c r="P512" s="233"/>
      <c r="Q512" s="233"/>
      <c r="R512" s="233"/>
      <c r="S512" s="233"/>
      <c r="T512" s="237"/>
      <c r="U512" s="233"/>
      <c r="V512" s="238"/>
      <c r="W512" s="238"/>
      <c r="AK512" s="242"/>
      <c r="AM512" s="236"/>
    </row>
    <row r="513" ht="14.25" customHeight="1">
      <c r="B513" s="233"/>
      <c r="D513" s="234"/>
      <c r="H513" s="235"/>
      <c r="K513" s="236"/>
      <c r="L513" s="237"/>
      <c r="M513" s="233"/>
      <c r="N513" s="233"/>
      <c r="O513" s="233"/>
      <c r="P513" s="233"/>
      <c r="Q513" s="233"/>
      <c r="R513" s="233"/>
      <c r="S513" s="233"/>
      <c r="T513" s="237"/>
      <c r="U513" s="233"/>
      <c r="V513" s="238"/>
      <c r="W513" s="238"/>
      <c r="AK513" s="242"/>
      <c r="AM513" s="236"/>
    </row>
    <row r="514" ht="14.25" customHeight="1">
      <c r="B514" s="233"/>
      <c r="D514" s="234"/>
      <c r="H514" s="235"/>
      <c r="K514" s="236"/>
      <c r="L514" s="237"/>
      <c r="M514" s="233"/>
      <c r="N514" s="233"/>
      <c r="O514" s="233"/>
      <c r="P514" s="233"/>
      <c r="Q514" s="233"/>
      <c r="R514" s="233"/>
      <c r="S514" s="233"/>
      <c r="T514" s="237"/>
      <c r="U514" s="233"/>
      <c r="V514" s="238"/>
      <c r="W514" s="238"/>
      <c r="AK514" s="242"/>
      <c r="AM514" s="236"/>
    </row>
    <row r="515" ht="14.25" customHeight="1">
      <c r="B515" s="233"/>
      <c r="D515" s="234"/>
      <c r="H515" s="235"/>
      <c r="K515" s="236"/>
      <c r="L515" s="237"/>
      <c r="M515" s="233"/>
      <c r="N515" s="233"/>
      <c r="O515" s="233"/>
      <c r="P515" s="233"/>
      <c r="Q515" s="233"/>
      <c r="R515" s="233"/>
      <c r="S515" s="233"/>
      <c r="T515" s="237"/>
      <c r="U515" s="233"/>
      <c r="V515" s="238"/>
      <c r="W515" s="238"/>
      <c r="AK515" s="242"/>
      <c r="AM515" s="236"/>
    </row>
    <row r="516" ht="14.25" customHeight="1">
      <c r="B516" s="233"/>
      <c r="D516" s="234"/>
      <c r="H516" s="235"/>
      <c r="K516" s="236"/>
      <c r="L516" s="237"/>
      <c r="M516" s="233"/>
      <c r="N516" s="233"/>
      <c r="O516" s="233"/>
      <c r="P516" s="233"/>
      <c r="Q516" s="233"/>
      <c r="R516" s="233"/>
      <c r="S516" s="233"/>
      <c r="T516" s="237"/>
      <c r="U516" s="233"/>
      <c r="V516" s="238"/>
      <c r="W516" s="238"/>
      <c r="AK516" s="242"/>
      <c r="AM516" s="236"/>
    </row>
    <row r="517" ht="14.25" customHeight="1">
      <c r="B517" s="233"/>
      <c r="D517" s="234"/>
      <c r="H517" s="235"/>
      <c r="K517" s="236"/>
      <c r="L517" s="237"/>
      <c r="M517" s="233"/>
      <c r="N517" s="233"/>
      <c r="O517" s="233"/>
      <c r="P517" s="233"/>
      <c r="Q517" s="233"/>
      <c r="R517" s="233"/>
      <c r="S517" s="233"/>
      <c r="T517" s="237"/>
      <c r="U517" s="233"/>
      <c r="V517" s="238"/>
      <c r="W517" s="238"/>
      <c r="AK517" s="242"/>
      <c r="AM517" s="236"/>
    </row>
    <row r="518" ht="14.25" customHeight="1">
      <c r="B518" s="233"/>
      <c r="D518" s="234"/>
      <c r="H518" s="235"/>
      <c r="K518" s="236"/>
      <c r="L518" s="237"/>
      <c r="M518" s="233"/>
      <c r="N518" s="233"/>
      <c r="O518" s="233"/>
      <c r="P518" s="233"/>
      <c r="Q518" s="233"/>
      <c r="R518" s="233"/>
      <c r="S518" s="233"/>
      <c r="T518" s="237"/>
      <c r="U518" s="233"/>
      <c r="V518" s="238"/>
      <c r="W518" s="238"/>
      <c r="AK518" s="242"/>
      <c r="AM518" s="236"/>
    </row>
    <row r="519" ht="14.25" customHeight="1">
      <c r="B519" s="233"/>
      <c r="D519" s="234"/>
      <c r="H519" s="235"/>
      <c r="K519" s="236"/>
      <c r="L519" s="237"/>
      <c r="M519" s="233"/>
      <c r="N519" s="233"/>
      <c r="O519" s="233"/>
      <c r="P519" s="233"/>
      <c r="Q519" s="233"/>
      <c r="R519" s="233"/>
      <c r="S519" s="233"/>
      <c r="T519" s="237"/>
      <c r="U519" s="233"/>
      <c r="V519" s="238"/>
      <c r="W519" s="238"/>
      <c r="AK519" s="242"/>
      <c r="AM519" s="236"/>
    </row>
    <row r="520" ht="14.25" customHeight="1">
      <c r="B520" s="233"/>
      <c r="D520" s="234"/>
      <c r="H520" s="235"/>
      <c r="K520" s="236"/>
      <c r="L520" s="237"/>
      <c r="M520" s="233"/>
      <c r="N520" s="233"/>
      <c r="O520" s="233"/>
      <c r="P520" s="233"/>
      <c r="Q520" s="233"/>
      <c r="R520" s="233"/>
      <c r="S520" s="233"/>
      <c r="T520" s="237"/>
      <c r="U520" s="233"/>
      <c r="V520" s="238"/>
      <c r="W520" s="238"/>
      <c r="AK520" s="242"/>
      <c r="AM520" s="236"/>
    </row>
    <row r="521" ht="14.25" customHeight="1">
      <c r="B521" s="233"/>
      <c r="D521" s="234"/>
      <c r="H521" s="235"/>
      <c r="K521" s="236"/>
      <c r="L521" s="237"/>
      <c r="M521" s="233"/>
      <c r="N521" s="233"/>
      <c r="O521" s="233"/>
      <c r="P521" s="233"/>
      <c r="Q521" s="233"/>
      <c r="R521" s="233"/>
      <c r="S521" s="233"/>
      <c r="T521" s="237"/>
      <c r="U521" s="233"/>
      <c r="V521" s="238"/>
      <c r="W521" s="238"/>
      <c r="AK521" s="242"/>
      <c r="AM521" s="236"/>
    </row>
    <row r="522" ht="14.25" customHeight="1">
      <c r="B522" s="233"/>
      <c r="D522" s="234"/>
      <c r="H522" s="235"/>
      <c r="K522" s="236"/>
      <c r="L522" s="237"/>
      <c r="M522" s="233"/>
      <c r="N522" s="233"/>
      <c r="O522" s="233"/>
      <c r="P522" s="233"/>
      <c r="Q522" s="233"/>
      <c r="R522" s="233"/>
      <c r="S522" s="233"/>
      <c r="T522" s="237"/>
      <c r="U522" s="233"/>
      <c r="V522" s="238"/>
      <c r="W522" s="238"/>
      <c r="AK522" s="242"/>
      <c r="AM522" s="236"/>
    </row>
    <row r="523" ht="14.25" customHeight="1">
      <c r="B523" s="233"/>
      <c r="D523" s="234"/>
      <c r="H523" s="235"/>
      <c r="K523" s="236"/>
      <c r="L523" s="237"/>
      <c r="M523" s="233"/>
      <c r="N523" s="233"/>
      <c r="O523" s="233"/>
      <c r="P523" s="233"/>
      <c r="Q523" s="233"/>
      <c r="R523" s="233"/>
      <c r="S523" s="233"/>
      <c r="T523" s="237"/>
      <c r="U523" s="233"/>
      <c r="V523" s="238"/>
      <c r="W523" s="238"/>
      <c r="AK523" s="242"/>
      <c r="AM523" s="236"/>
    </row>
    <row r="524" ht="14.25" customHeight="1">
      <c r="B524" s="233"/>
      <c r="D524" s="234"/>
      <c r="H524" s="235"/>
      <c r="K524" s="236"/>
      <c r="L524" s="237"/>
      <c r="M524" s="233"/>
      <c r="N524" s="233"/>
      <c r="O524" s="233"/>
      <c r="P524" s="233"/>
      <c r="Q524" s="233"/>
      <c r="R524" s="233"/>
      <c r="S524" s="233"/>
      <c r="T524" s="237"/>
      <c r="U524" s="233"/>
      <c r="V524" s="238"/>
      <c r="W524" s="238"/>
      <c r="AK524" s="242"/>
      <c r="AM524" s="236"/>
    </row>
    <row r="525" ht="14.25" customHeight="1">
      <c r="B525" s="233"/>
      <c r="D525" s="234"/>
      <c r="H525" s="235"/>
      <c r="K525" s="236"/>
      <c r="L525" s="237"/>
      <c r="M525" s="233"/>
      <c r="N525" s="233"/>
      <c r="O525" s="233"/>
      <c r="P525" s="233"/>
      <c r="Q525" s="233"/>
      <c r="R525" s="233"/>
      <c r="S525" s="233"/>
      <c r="T525" s="237"/>
      <c r="U525" s="233"/>
      <c r="V525" s="238"/>
      <c r="W525" s="238"/>
      <c r="AK525" s="242"/>
      <c r="AM525" s="236"/>
    </row>
    <row r="526" ht="14.25" customHeight="1">
      <c r="B526" s="233"/>
      <c r="D526" s="234"/>
      <c r="H526" s="235"/>
      <c r="K526" s="236"/>
      <c r="L526" s="237"/>
      <c r="M526" s="233"/>
      <c r="N526" s="233"/>
      <c r="O526" s="233"/>
      <c r="P526" s="233"/>
      <c r="Q526" s="233"/>
      <c r="R526" s="233"/>
      <c r="S526" s="233"/>
      <c r="T526" s="237"/>
      <c r="U526" s="233"/>
      <c r="V526" s="238"/>
      <c r="W526" s="238"/>
      <c r="AK526" s="242"/>
      <c r="AM526" s="236"/>
    </row>
    <row r="527" ht="14.25" customHeight="1">
      <c r="B527" s="233"/>
      <c r="D527" s="234"/>
      <c r="H527" s="235"/>
      <c r="K527" s="236"/>
      <c r="L527" s="237"/>
      <c r="M527" s="233"/>
      <c r="N527" s="233"/>
      <c r="O527" s="233"/>
      <c r="P527" s="233"/>
      <c r="Q527" s="233"/>
      <c r="R527" s="233"/>
      <c r="S527" s="233"/>
      <c r="T527" s="237"/>
      <c r="U527" s="233"/>
      <c r="V527" s="238"/>
      <c r="W527" s="238"/>
      <c r="AK527" s="242"/>
      <c r="AM527" s="236"/>
    </row>
    <row r="528" ht="14.25" customHeight="1">
      <c r="B528" s="233"/>
      <c r="D528" s="234"/>
      <c r="H528" s="235"/>
      <c r="K528" s="236"/>
      <c r="L528" s="237"/>
      <c r="M528" s="233"/>
      <c r="N528" s="233"/>
      <c r="O528" s="233"/>
      <c r="P528" s="233"/>
      <c r="Q528" s="233"/>
      <c r="R528" s="233"/>
      <c r="S528" s="233"/>
      <c r="T528" s="237"/>
      <c r="U528" s="233"/>
      <c r="V528" s="238"/>
      <c r="W528" s="238"/>
      <c r="AK528" s="242"/>
      <c r="AM528" s="236"/>
    </row>
    <row r="529" ht="14.25" customHeight="1">
      <c r="B529" s="233"/>
      <c r="D529" s="234"/>
      <c r="H529" s="235"/>
      <c r="K529" s="236"/>
      <c r="L529" s="237"/>
      <c r="M529" s="233"/>
      <c r="N529" s="233"/>
      <c r="O529" s="233"/>
      <c r="P529" s="233"/>
      <c r="Q529" s="233"/>
      <c r="R529" s="233"/>
      <c r="S529" s="233"/>
      <c r="T529" s="237"/>
      <c r="U529" s="233"/>
      <c r="V529" s="238"/>
      <c r="W529" s="238"/>
      <c r="AK529" s="242"/>
      <c r="AM529" s="236"/>
    </row>
    <row r="530" ht="14.25" customHeight="1">
      <c r="B530" s="233"/>
      <c r="D530" s="234"/>
      <c r="H530" s="235"/>
      <c r="K530" s="236"/>
      <c r="L530" s="237"/>
      <c r="M530" s="233"/>
      <c r="N530" s="233"/>
      <c r="O530" s="233"/>
      <c r="P530" s="233"/>
      <c r="Q530" s="233"/>
      <c r="R530" s="233"/>
      <c r="S530" s="233"/>
      <c r="T530" s="237"/>
      <c r="U530" s="233"/>
      <c r="V530" s="238"/>
      <c r="W530" s="238"/>
      <c r="AK530" s="242"/>
      <c r="AM530" s="236"/>
    </row>
    <row r="531" ht="14.25" customHeight="1">
      <c r="B531" s="233"/>
      <c r="D531" s="234"/>
      <c r="H531" s="235"/>
      <c r="K531" s="236"/>
      <c r="L531" s="237"/>
      <c r="M531" s="233"/>
      <c r="N531" s="233"/>
      <c r="O531" s="233"/>
      <c r="P531" s="233"/>
      <c r="Q531" s="233"/>
      <c r="R531" s="233"/>
      <c r="S531" s="233"/>
      <c r="T531" s="237"/>
      <c r="U531" s="233"/>
      <c r="V531" s="238"/>
      <c r="W531" s="238"/>
      <c r="AK531" s="242"/>
      <c r="AM531" s="236"/>
    </row>
    <row r="532" ht="14.25" customHeight="1">
      <c r="B532" s="233"/>
      <c r="D532" s="234"/>
      <c r="H532" s="235"/>
      <c r="K532" s="236"/>
      <c r="L532" s="237"/>
      <c r="M532" s="233"/>
      <c r="N532" s="233"/>
      <c r="O532" s="233"/>
      <c r="P532" s="233"/>
      <c r="Q532" s="233"/>
      <c r="R532" s="233"/>
      <c r="S532" s="233"/>
      <c r="T532" s="237"/>
      <c r="U532" s="233"/>
      <c r="V532" s="238"/>
      <c r="W532" s="238"/>
      <c r="AK532" s="242"/>
      <c r="AM532" s="236"/>
    </row>
    <row r="533" ht="14.25" customHeight="1">
      <c r="B533" s="233"/>
      <c r="D533" s="234"/>
      <c r="H533" s="235"/>
      <c r="K533" s="236"/>
      <c r="L533" s="237"/>
      <c r="M533" s="233"/>
      <c r="N533" s="233"/>
      <c r="O533" s="233"/>
      <c r="P533" s="233"/>
      <c r="Q533" s="233"/>
      <c r="R533" s="233"/>
      <c r="S533" s="233"/>
      <c r="T533" s="237"/>
      <c r="U533" s="233"/>
      <c r="V533" s="238"/>
      <c r="W533" s="238"/>
      <c r="AK533" s="242"/>
      <c r="AM533" s="236"/>
    </row>
    <row r="534" ht="14.25" customHeight="1">
      <c r="B534" s="233"/>
      <c r="D534" s="234"/>
      <c r="H534" s="235"/>
      <c r="K534" s="236"/>
      <c r="L534" s="237"/>
      <c r="M534" s="233"/>
      <c r="N534" s="233"/>
      <c r="O534" s="233"/>
      <c r="P534" s="233"/>
      <c r="Q534" s="233"/>
      <c r="R534" s="233"/>
      <c r="S534" s="233"/>
      <c r="T534" s="237"/>
      <c r="U534" s="233"/>
      <c r="V534" s="238"/>
      <c r="W534" s="238"/>
      <c r="AK534" s="242"/>
      <c r="AM534" s="236"/>
    </row>
    <row r="535" ht="14.25" customHeight="1">
      <c r="B535" s="233"/>
      <c r="D535" s="234"/>
      <c r="H535" s="235"/>
      <c r="K535" s="236"/>
      <c r="L535" s="237"/>
      <c r="M535" s="233"/>
      <c r="N535" s="233"/>
      <c r="O535" s="233"/>
      <c r="P535" s="233"/>
      <c r="Q535" s="233"/>
      <c r="R535" s="233"/>
      <c r="S535" s="233"/>
      <c r="T535" s="237"/>
      <c r="U535" s="233"/>
      <c r="V535" s="238"/>
      <c r="W535" s="238"/>
      <c r="AK535" s="242"/>
      <c r="AM535" s="236"/>
    </row>
    <row r="536" ht="14.25" customHeight="1">
      <c r="B536" s="233"/>
      <c r="D536" s="234"/>
      <c r="H536" s="235"/>
      <c r="K536" s="236"/>
      <c r="L536" s="237"/>
      <c r="M536" s="233"/>
      <c r="N536" s="233"/>
      <c r="O536" s="233"/>
      <c r="P536" s="233"/>
      <c r="Q536" s="233"/>
      <c r="R536" s="233"/>
      <c r="S536" s="233"/>
      <c r="T536" s="237"/>
      <c r="U536" s="233"/>
      <c r="V536" s="238"/>
      <c r="W536" s="238"/>
      <c r="AK536" s="242"/>
      <c r="AM536" s="236"/>
    </row>
    <row r="537" ht="14.25" customHeight="1">
      <c r="B537" s="233"/>
      <c r="D537" s="234"/>
      <c r="H537" s="235"/>
      <c r="K537" s="236"/>
      <c r="L537" s="237"/>
      <c r="M537" s="233"/>
      <c r="N537" s="233"/>
      <c r="O537" s="233"/>
      <c r="P537" s="233"/>
      <c r="Q537" s="233"/>
      <c r="R537" s="233"/>
      <c r="S537" s="233"/>
      <c r="T537" s="237"/>
      <c r="U537" s="233"/>
      <c r="V537" s="238"/>
      <c r="W537" s="238"/>
      <c r="AK537" s="242"/>
      <c r="AM537" s="236"/>
    </row>
    <row r="538" ht="14.25" customHeight="1">
      <c r="B538" s="233"/>
      <c r="D538" s="234"/>
      <c r="H538" s="235"/>
      <c r="K538" s="236"/>
      <c r="L538" s="237"/>
      <c r="M538" s="233"/>
      <c r="N538" s="233"/>
      <c r="O538" s="233"/>
      <c r="P538" s="233"/>
      <c r="Q538" s="233"/>
      <c r="R538" s="233"/>
      <c r="S538" s="233"/>
      <c r="T538" s="237"/>
      <c r="U538" s="233"/>
      <c r="V538" s="238"/>
      <c r="W538" s="238"/>
      <c r="AK538" s="242"/>
      <c r="AM538" s="236"/>
    </row>
    <row r="539" ht="14.25" customHeight="1">
      <c r="B539" s="233"/>
      <c r="D539" s="234"/>
      <c r="H539" s="235"/>
      <c r="K539" s="236"/>
      <c r="L539" s="237"/>
      <c r="M539" s="233"/>
      <c r="N539" s="233"/>
      <c r="O539" s="233"/>
      <c r="P539" s="233"/>
      <c r="Q539" s="233"/>
      <c r="R539" s="233"/>
      <c r="S539" s="233"/>
      <c r="T539" s="237"/>
      <c r="U539" s="233"/>
      <c r="V539" s="238"/>
      <c r="W539" s="238"/>
      <c r="AK539" s="242"/>
      <c r="AM539" s="236"/>
    </row>
    <row r="540" ht="14.25" customHeight="1">
      <c r="B540" s="233"/>
      <c r="D540" s="234"/>
      <c r="H540" s="235"/>
      <c r="K540" s="236"/>
      <c r="L540" s="237"/>
      <c r="M540" s="233"/>
      <c r="N540" s="233"/>
      <c r="O540" s="233"/>
      <c r="P540" s="233"/>
      <c r="Q540" s="233"/>
      <c r="R540" s="233"/>
      <c r="S540" s="233"/>
      <c r="T540" s="237"/>
      <c r="U540" s="233"/>
      <c r="V540" s="238"/>
      <c r="W540" s="238"/>
      <c r="AK540" s="242"/>
      <c r="AM540" s="236"/>
    </row>
    <row r="541" ht="14.25" customHeight="1">
      <c r="B541" s="233"/>
      <c r="D541" s="234"/>
      <c r="H541" s="235"/>
      <c r="K541" s="236"/>
      <c r="L541" s="237"/>
      <c r="M541" s="233"/>
      <c r="N541" s="233"/>
      <c r="O541" s="233"/>
      <c r="P541" s="233"/>
      <c r="Q541" s="233"/>
      <c r="R541" s="233"/>
      <c r="S541" s="233"/>
      <c r="T541" s="237"/>
      <c r="U541" s="233"/>
      <c r="V541" s="238"/>
      <c r="W541" s="238"/>
      <c r="AK541" s="242"/>
      <c r="AM541" s="236"/>
    </row>
    <row r="542" ht="14.25" customHeight="1">
      <c r="B542" s="233"/>
      <c r="D542" s="234"/>
      <c r="H542" s="235"/>
      <c r="K542" s="236"/>
      <c r="L542" s="237"/>
      <c r="M542" s="233"/>
      <c r="N542" s="233"/>
      <c r="O542" s="233"/>
      <c r="P542" s="233"/>
      <c r="Q542" s="233"/>
      <c r="R542" s="233"/>
      <c r="S542" s="233"/>
      <c r="T542" s="237"/>
      <c r="U542" s="233"/>
      <c r="V542" s="238"/>
      <c r="W542" s="238"/>
      <c r="AK542" s="242"/>
      <c r="AM542" s="236"/>
    </row>
    <row r="543" ht="14.25" customHeight="1">
      <c r="B543" s="233"/>
      <c r="D543" s="234"/>
      <c r="H543" s="235"/>
      <c r="K543" s="236"/>
      <c r="L543" s="237"/>
      <c r="M543" s="233"/>
      <c r="N543" s="233"/>
      <c r="O543" s="233"/>
      <c r="P543" s="233"/>
      <c r="Q543" s="233"/>
      <c r="R543" s="233"/>
      <c r="S543" s="233"/>
      <c r="T543" s="237"/>
      <c r="U543" s="233"/>
      <c r="V543" s="238"/>
      <c r="W543" s="238"/>
      <c r="AK543" s="242"/>
      <c r="AM543" s="236"/>
    </row>
    <row r="544" ht="14.25" customHeight="1">
      <c r="B544" s="233"/>
      <c r="D544" s="234"/>
      <c r="H544" s="235"/>
      <c r="K544" s="236"/>
      <c r="L544" s="237"/>
      <c r="M544" s="233"/>
      <c r="N544" s="233"/>
      <c r="O544" s="233"/>
      <c r="P544" s="233"/>
      <c r="Q544" s="233"/>
      <c r="R544" s="233"/>
      <c r="S544" s="233"/>
      <c r="T544" s="237"/>
      <c r="U544" s="233"/>
      <c r="V544" s="238"/>
      <c r="W544" s="238"/>
      <c r="AK544" s="242"/>
      <c r="AM544" s="236"/>
    </row>
    <row r="545" ht="14.25" customHeight="1">
      <c r="B545" s="233"/>
      <c r="D545" s="234"/>
      <c r="H545" s="235"/>
      <c r="K545" s="236"/>
      <c r="L545" s="237"/>
      <c r="M545" s="233"/>
      <c r="N545" s="233"/>
      <c r="O545" s="233"/>
      <c r="P545" s="233"/>
      <c r="Q545" s="233"/>
      <c r="R545" s="233"/>
      <c r="S545" s="233"/>
      <c r="T545" s="237"/>
      <c r="U545" s="233"/>
      <c r="V545" s="238"/>
      <c r="W545" s="238"/>
      <c r="AK545" s="242"/>
      <c r="AM545" s="236"/>
    </row>
    <row r="546" ht="14.25" customHeight="1">
      <c r="B546" s="233"/>
      <c r="D546" s="234"/>
      <c r="H546" s="235"/>
      <c r="K546" s="236"/>
      <c r="L546" s="237"/>
      <c r="M546" s="233"/>
      <c r="N546" s="233"/>
      <c r="O546" s="233"/>
      <c r="P546" s="233"/>
      <c r="Q546" s="233"/>
      <c r="R546" s="233"/>
      <c r="S546" s="233"/>
      <c r="T546" s="237"/>
      <c r="U546" s="233"/>
      <c r="V546" s="238"/>
      <c r="W546" s="238"/>
      <c r="AK546" s="242"/>
      <c r="AM546" s="236"/>
    </row>
    <row r="547" ht="14.25" customHeight="1">
      <c r="B547" s="233"/>
      <c r="D547" s="234"/>
      <c r="H547" s="235"/>
      <c r="K547" s="236"/>
      <c r="L547" s="237"/>
      <c r="M547" s="233"/>
      <c r="N547" s="233"/>
      <c r="O547" s="233"/>
      <c r="P547" s="233"/>
      <c r="Q547" s="233"/>
      <c r="R547" s="233"/>
      <c r="S547" s="233"/>
      <c r="T547" s="237"/>
      <c r="U547" s="233"/>
      <c r="V547" s="238"/>
      <c r="W547" s="238"/>
      <c r="AK547" s="242"/>
      <c r="AM547" s="236"/>
    </row>
    <row r="548" ht="14.25" customHeight="1">
      <c r="B548" s="233"/>
      <c r="D548" s="234"/>
      <c r="H548" s="235"/>
      <c r="K548" s="236"/>
      <c r="L548" s="237"/>
      <c r="M548" s="233"/>
      <c r="N548" s="233"/>
      <c r="O548" s="233"/>
      <c r="P548" s="233"/>
      <c r="Q548" s="233"/>
      <c r="R548" s="233"/>
      <c r="S548" s="233"/>
      <c r="T548" s="237"/>
      <c r="U548" s="233"/>
      <c r="V548" s="238"/>
      <c r="W548" s="238"/>
      <c r="AK548" s="242"/>
      <c r="AM548" s="236"/>
    </row>
    <row r="549" ht="14.25" customHeight="1">
      <c r="B549" s="233"/>
      <c r="D549" s="234"/>
      <c r="H549" s="235"/>
      <c r="K549" s="236"/>
      <c r="L549" s="237"/>
      <c r="M549" s="233"/>
      <c r="N549" s="233"/>
      <c r="O549" s="233"/>
      <c r="P549" s="233"/>
      <c r="Q549" s="233"/>
      <c r="R549" s="233"/>
      <c r="S549" s="233"/>
      <c r="T549" s="237"/>
      <c r="U549" s="233"/>
      <c r="V549" s="238"/>
      <c r="W549" s="238"/>
      <c r="AK549" s="242"/>
      <c r="AM549" s="236"/>
    </row>
    <row r="550" ht="14.25" customHeight="1">
      <c r="B550" s="233"/>
      <c r="D550" s="234"/>
      <c r="H550" s="235"/>
      <c r="K550" s="236"/>
      <c r="L550" s="237"/>
      <c r="M550" s="233"/>
      <c r="N550" s="233"/>
      <c r="O550" s="233"/>
      <c r="P550" s="233"/>
      <c r="Q550" s="233"/>
      <c r="R550" s="233"/>
      <c r="S550" s="233"/>
      <c r="T550" s="237"/>
      <c r="U550" s="233"/>
      <c r="V550" s="238"/>
      <c r="W550" s="238"/>
      <c r="AK550" s="242"/>
      <c r="AM550" s="236"/>
    </row>
    <row r="551" ht="14.25" customHeight="1">
      <c r="B551" s="233"/>
      <c r="D551" s="234"/>
      <c r="H551" s="235"/>
      <c r="K551" s="236"/>
      <c r="L551" s="237"/>
      <c r="M551" s="233"/>
      <c r="N551" s="233"/>
      <c r="O551" s="233"/>
      <c r="P551" s="233"/>
      <c r="Q551" s="233"/>
      <c r="R551" s="233"/>
      <c r="S551" s="233"/>
      <c r="T551" s="237"/>
      <c r="U551" s="233"/>
      <c r="V551" s="238"/>
      <c r="W551" s="238"/>
      <c r="AK551" s="242"/>
      <c r="AM551" s="236"/>
    </row>
    <row r="552" ht="14.25" customHeight="1">
      <c r="B552" s="233"/>
      <c r="D552" s="234"/>
      <c r="H552" s="235"/>
      <c r="K552" s="236"/>
      <c r="L552" s="237"/>
      <c r="M552" s="233"/>
      <c r="N552" s="233"/>
      <c r="O552" s="233"/>
      <c r="P552" s="233"/>
      <c r="Q552" s="233"/>
      <c r="R552" s="233"/>
      <c r="S552" s="233"/>
      <c r="T552" s="237"/>
      <c r="U552" s="233"/>
      <c r="V552" s="238"/>
      <c r="W552" s="238"/>
      <c r="AK552" s="242"/>
      <c r="AM552" s="236"/>
    </row>
    <row r="553" ht="14.25" customHeight="1">
      <c r="B553" s="233"/>
      <c r="D553" s="234"/>
      <c r="H553" s="235"/>
      <c r="K553" s="236"/>
      <c r="L553" s="237"/>
      <c r="M553" s="233"/>
      <c r="N553" s="233"/>
      <c r="O553" s="233"/>
      <c r="P553" s="233"/>
      <c r="Q553" s="233"/>
      <c r="R553" s="233"/>
      <c r="S553" s="233"/>
      <c r="T553" s="237"/>
      <c r="U553" s="233"/>
      <c r="V553" s="238"/>
      <c r="W553" s="238"/>
      <c r="AK553" s="242"/>
      <c r="AM553" s="236"/>
    </row>
    <row r="554" ht="14.25" customHeight="1">
      <c r="B554" s="233"/>
      <c r="D554" s="234"/>
      <c r="H554" s="235"/>
      <c r="K554" s="236"/>
      <c r="L554" s="237"/>
      <c r="M554" s="233"/>
      <c r="N554" s="233"/>
      <c r="O554" s="233"/>
      <c r="P554" s="233"/>
      <c r="Q554" s="233"/>
      <c r="R554" s="233"/>
      <c r="S554" s="233"/>
      <c r="T554" s="237"/>
      <c r="U554" s="233"/>
      <c r="V554" s="238"/>
      <c r="W554" s="238"/>
      <c r="AK554" s="242"/>
      <c r="AM554" s="236"/>
    </row>
    <row r="555" ht="14.25" customHeight="1">
      <c r="B555" s="233"/>
      <c r="D555" s="234"/>
      <c r="H555" s="235"/>
      <c r="K555" s="236"/>
      <c r="L555" s="237"/>
      <c r="M555" s="233"/>
      <c r="N555" s="233"/>
      <c r="O555" s="233"/>
      <c r="P555" s="233"/>
      <c r="Q555" s="233"/>
      <c r="R555" s="233"/>
      <c r="S555" s="233"/>
      <c r="T555" s="237"/>
      <c r="U555" s="233"/>
      <c r="V555" s="238"/>
      <c r="W555" s="238"/>
      <c r="AK555" s="242"/>
      <c r="AM555" s="236"/>
    </row>
    <row r="556" ht="14.25" customHeight="1">
      <c r="B556" s="233"/>
      <c r="D556" s="234"/>
      <c r="H556" s="235"/>
      <c r="K556" s="236"/>
      <c r="L556" s="237"/>
      <c r="M556" s="233"/>
      <c r="N556" s="233"/>
      <c r="O556" s="233"/>
      <c r="P556" s="233"/>
      <c r="Q556" s="233"/>
      <c r="R556" s="233"/>
      <c r="S556" s="233"/>
      <c r="T556" s="237"/>
      <c r="U556" s="233"/>
      <c r="V556" s="238"/>
      <c r="W556" s="238"/>
      <c r="AK556" s="242"/>
      <c r="AM556" s="236"/>
    </row>
    <row r="557" ht="14.25" customHeight="1">
      <c r="B557" s="233"/>
      <c r="D557" s="234"/>
      <c r="H557" s="235"/>
      <c r="K557" s="236"/>
      <c r="L557" s="237"/>
      <c r="M557" s="233"/>
      <c r="N557" s="233"/>
      <c r="O557" s="233"/>
      <c r="P557" s="233"/>
      <c r="Q557" s="233"/>
      <c r="R557" s="233"/>
      <c r="S557" s="233"/>
      <c r="T557" s="237"/>
      <c r="U557" s="233"/>
      <c r="V557" s="238"/>
      <c r="W557" s="238"/>
      <c r="AK557" s="242"/>
      <c r="AM557" s="236"/>
    </row>
    <row r="558" ht="14.25" customHeight="1">
      <c r="B558" s="233"/>
      <c r="D558" s="234"/>
      <c r="H558" s="235"/>
      <c r="K558" s="236"/>
      <c r="L558" s="237"/>
      <c r="M558" s="233"/>
      <c r="N558" s="233"/>
      <c r="O558" s="233"/>
      <c r="P558" s="233"/>
      <c r="Q558" s="233"/>
      <c r="R558" s="233"/>
      <c r="S558" s="233"/>
      <c r="T558" s="237"/>
      <c r="U558" s="233"/>
      <c r="V558" s="238"/>
      <c r="W558" s="238"/>
      <c r="AK558" s="242"/>
      <c r="AM558" s="236"/>
    </row>
    <row r="559" ht="14.25" customHeight="1">
      <c r="B559" s="233"/>
      <c r="D559" s="234"/>
      <c r="H559" s="235"/>
      <c r="K559" s="236"/>
      <c r="L559" s="237"/>
      <c r="M559" s="233"/>
      <c r="N559" s="233"/>
      <c r="O559" s="233"/>
      <c r="P559" s="233"/>
      <c r="Q559" s="233"/>
      <c r="R559" s="233"/>
      <c r="S559" s="233"/>
      <c r="T559" s="237"/>
      <c r="U559" s="233"/>
      <c r="V559" s="238"/>
      <c r="W559" s="238"/>
      <c r="AK559" s="242"/>
      <c r="AM559" s="236"/>
    </row>
    <row r="560" ht="14.25" customHeight="1">
      <c r="B560" s="233"/>
      <c r="D560" s="234"/>
      <c r="H560" s="235"/>
      <c r="K560" s="236"/>
      <c r="L560" s="237"/>
      <c r="M560" s="233"/>
      <c r="N560" s="233"/>
      <c r="O560" s="233"/>
      <c r="P560" s="233"/>
      <c r="Q560" s="233"/>
      <c r="R560" s="233"/>
      <c r="S560" s="233"/>
      <c r="T560" s="237"/>
      <c r="U560" s="233"/>
      <c r="V560" s="238"/>
      <c r="W560" s="238"/>
      <c r="AK560" s="242"/>
      <c r="AM560" s="236"/>
    </row>
    <row r="561" ht="14.25" customHeight="1">
      <c r="B561" s="233"/>
      <c r="D561" s="234"/>
      <c r="H561" s="235"/>
      <c r="K561" s="236"/>
      <c r="L561" s="237"/>
      <c r="M561" s="233"/>
      <c r="N561" s="233"/>
      <c r="O561" s="233"/>
      <c r="P561" s="233"/>
      <c r="Q561" s="233"/>
      <c r="R561" s="233"/>
      <c r="S561" s="233"/>
      <c r="T561" s="237"/>
      <c r="U561" s="233"/>
      <c r="V561" s="238"/>
      <c r="W561" s="238"/>
      <c r="AK561" s="242"/>
      <c r="AM561" s="236"/>
    </row>
    <row r="562" ht="14.25" customHeight="1">
      <c r="B562" s="233"/>
      <c r="D562" s="234"/>
      <c r="H562" s="235"/>
      <c r="K562" s="236"/>
      <c r="L562" s="237"/>
      <c r="M562" s="233"/>
      <c r="N562" s="233"/>
      <c r="O562" s="233"/>
      <c r="P562" s="233"/>
      <c r="Q562" s="233"/>
      <c r="R562" s="233"/>
      <c r="S562" s="233"/>
      <c r="T562" s="237"/>
      <c r="U562" s="233"/>
      <c r="V562" s="238"/>
      <c r="W562" s="238"/>
      <c r="AK562" s="242"/>
      <c r="AM562" s="236"/>
    </row>
    <row r="563" ht="14.25" customHeight="1">
      <c r="B563" s="233"/>
      <c r="D563" s="234"/>
      <c r="H563" s="235"/>
      <c r="K563" s="236"/>
      <c r="L563" s="237"/>
      <c r="M563" s="233"/>
      <c r="N563" s="233"/>
      <c r="O563" s="233"/>
      <c r="P563" s="233"/>
      <c r="Q563" s="233"/>
      <c r="R563" s="233"/>
      <c r="S563" s="233"/>
      <c r="T563" s="237"/>
      <c r="U563" s="233"/>
      <c r="V563" s="238"/>
      <c r="W563" s="238"/>
      <c r="AK563" s="242"/>
      <c r="AM563" s="236"/>
    </row>
    <row r="564" ht="14.25" customHeight="1">
      <c r="B564" s="233"/>
      <c r="D564" s="234"/>
      <c r="H564" s="235"/>
      <c r="K564" s="236"/>
      <c r="L564" s="237"/>
      <c r="M564" s="233"/>
      <c r="N564" s="233"/>
      <c r="O564" s="233"/>
      <c r="P564" s="233"/>
      <c r="Q564" s="233"/>
      <c r="R564" s="233"/>
      <c r="S564" s="233"/>
      <c r="T564" s="237"/>
      <c r="U564" s="233"/>
      <c r="V564" s="238"/>
      <c r="W564" s="238"/>
      <c r="AK564" s="242"/>
      <c r="AM564" s="236"/>
    </row>
    <row r="565" ht="14.25" customHeight="1">
      <c r="B565" s="233"/>
      <c r="D565" s="234"/>
      <c r="H565" s="235"/>
      <c r="K565" s="236"/>
      <c r="L565" s="237"/>
      <c r="M565" s="233"/>
      <c r="N565" s="233"/>
      <c r="O565" s="233"/>
      <c r="P565" s="233"/>
      <c r="Q565" s="233"/>
      <c r="R565" s="233"/>
      <c r="S565" s="233"/>
      <c r="T565" s="237"/>
      <c r="U565" s="233"/>
      <c r="V565" s="238"/>
      <c r="W565" s="238"/>
      <c r="AK565" s="242"/>
      <c r="AM565" s="236"/>
    </row>
    <row r="566" ht="14.25" customHeight="1">
      <c r="B566" s="233"/>
      <c r="D566" s="234"/>
      <c r="H566" s="235"/>
      <c r="K566" s="236"/>
      <c r="L566" s="237"/>
      <c r="M566" s="233"/>
      <c r="N566" s="233"/>
      <c r="O566" s="233"/>
      <c r="P566" s="233"/>
      <c r="Q566" s="233"/>
      <c r="R566" s="233"/>
      <c r="S566" s="233"/>
      <c r="T566" s="237"/>
      <c r="U566" s="233"/>
      <c r="V566" s="238"/>
      <c r="W566" s="238"/>
      <c r="AK566" s="242"/>
      <c r="AM566" s="236"/>
    </row>
    <row r="567" ht="14.25" customHeight="1">
      <c r="B567" s="233"/>
      <c r="D567" s="234"/>
      <c r="H567" s="235"/>
      <c r="K567" s="236"/>
      <c r="L567" s="237"/>
      <c r="M567" s="233"/>
      <c r="N567" s="233"/>
      <c r="O567" s="233"/>
      <c r="P567" s="233"/>
      <c r="Q567" s="233"/>
      <c r="R567" s="233"/>
      <c r="S567" s="233"/>
      <c r="T567" s="237"/>
      <c r="U567" s="233"/>
      <c r="V567" s="238"/>
      <c r="W567" s="238"/>
      <c r="AK567" s="242"/>
      <c r="AM567" s="236"/>
    </row>
    <row r="568" ht="14.25" customHeight="1">
      <c r="B568" s="233"/>
      <c r="D568" s="234"/>
      <c r="H568" s="235"/>
      <c r="K568" s="236"/>
      <c r="L568" s="237"/>
      <c r="M568" s="233"/>
      <c r="N568" s="233"/>
      <c r="O568" s="233"/>
      <c r="P568" s="233"/>
      <c r="Q568" s="233"/>
      <c r="R568" s="233"/>
      <c r="S568" s="233"/>
      <c r="T568" s="237"/>
      <c r="U568" s="233"/>
      <c r="V568" s="238"/>
      <c r="W568" s="238"/>
      <c r="AK568" s="242"/>
      <c r="AM568" s="236"/>
    </row>
    <row r="569" ht="14.25" customHeight="1">
      <c r="B569" s="233"/>
      <c r="D569" s="234"/>
      <c r="H569" s="235"/>
      <c r="K569" s="236"/>
      <c r="L569" s="237"/>
      <c r="M569" s="233"/>
      <c r="N569" s="233"/>
      <c r="O569" s="233"/>
      <c r="P569" s="233"/>
      <c r="Q569" s="233"/>
      <c r="R569" s="233"/>
      <c r="S569" s="233"/>
      <c r="T569" s="237"/>
      <c r="U569" s="233"/>
      <c r="V569" s="238"/>
      <c r="W569" s="238"/>
      <c r="AK569" s="242"/>
      <c r="AM569" s="236"/>
    </row>
    <row r="570" ht="14.25" customHeight="1">
      <c r="B570" s="233"/>
      <c r="D570" s="234"/>
      <c r="H570" s="235"/>
      <c r="K570" s="236"/>
      <c r="L570" s="237"/>
      <c r="M570" s="233"/>
      <c r="N570" s="233"/>
      <c r="O570" s="233"/>
      <c r="P570" s="233"/>
      <c r="Q570" s="233"/>
      <c r="R570" s="233"/>
      <c r="S570" s="233"/>
      <c r="T570" s="237"/>
      <c r="U570" s="233"/>
      <c r="V570" s="238"/>
      <c r="W570" s="238"/>
      <c r="AK570" s="242"/>
      <c r="AM570" s="236"/>
    </row>
    <row r="571" ht="14.25" customHeight="1">
      <c r="B571" s="233"/>
      <c r="D571" s="234"/>
      <c r="H571" s="235"/>
      <c r="K571" s="236"/>
      <c r="L571" s="237"/>
      <c r="M571" s="233"/>
      <c r="N571" s="233"/>
      <c r="O571" s="233"/>
      <c r="P571" s="233"/>
      <c r="Q571" s="233"/>
      <c r="R571" s="233"/>
      <c r="S571" s="233"/>
      <c r="T571" s="237"/>
      <c r="U571" s="233"/>
      <c r="V571" s="238"/>
      <c r="W571" s="238"/>
      <c r="AK571" s="242"/>
      <c r="AM571" s="236"/>
    </row>
    <row r="572" ht="14.25" customHeight="1">
      <c r="B572" s="233"/>
      <c r="D572" s="234"/>
      <c r="H572" s="235"/>
      <c r="K572" s="236"/>
      <c r="L572" s="237"/>
      <c r="M572" s="233"/>
      <c r="N572" s="233"/>
      <c r="O572" s="233"/>
      <c r="P572" s="233"/>
      <c r="Q572" s="233"/>
      <c r="R572" s="233"/>
      <c r="S572" s="233"/>
      <c r="T572" s="237"/>
      <c r="U572" s="233"/>
      <c r="V572" s="238"/>
      <c r="W572" s="238"/>
      <c r="AK572" s="242"/>
      <c r="AM572" s="236"/>
    </row>
    <row r="573" ht="14.25" customHeight="1">
      <c r="B573" s="233"/>
      <c r="D573" s="234"/>
      <c r="H573" s="235"/>
      <c r="K573" s="236"/>
      <c r="L573" s="237"/>
      <c r="M573" s="233"/>
      <c r="N573" s="233"/>
      <c r="O573" s="233"/>
      <c r="P573" s="233"/>
      <c r="Q573" s="233"/>
      <c r="R573" s="233"/>
      <c r="S573" s="233"/>
      <c r="T573" s="237"/>
      <c r="U573" s="233"/>
      <c r="V573" s="238"/>
      <c r="W573" s="238"/>
      <c r="AK573" s="242"/>
      <c r="AM573" s="236"/>
    </row>
    <row r="574" ht="14.25" customHeight="1">
      <c r="B574" s="233"/>
      <c r="D574" s="234"/>
      <c r="H574" s="235"/>
      <c r="K574" s="236"/>
      <c r="L574" s="237"/>
      <c r="M574" s="233"/>
      <c r="N574" s="233"/>
      <c r="O574" s="233"/>
      <c r="P574" s="233"/>
      <c r="Q574" s="233"/>
      <c r="R574" s="233"/>
      <c r="S574" s="233"/>
      <c r="T574" s="237"/>
      <c r="U574" s="233"/>
      <c r="V574" s="238"/>
      <c r="W574" s="238"/>
      <c r="AK574" s="242"/>
      <c r="AM574" s="236"/>
    </row>
    <row r="575" ht="14.25" customHeight="1">
      <c r="B575" s="233"/>
      <c r="D575" s="234"/>
      <c r="H575" s="235"/>
      <c r="K575" s="236"/>
      <c r="L575" s="237"/>
      <c r="M575" s="233"/>
      <c r="N575" s="233"/>
      <c r="O575" s="233"/>
      <c r="P575" s="233"/>
      <c r="Q575" s="233"/>
      <c r="R575" s="233"/>
      <c r="S575" s="233"/>
      <c r="T575" s="237"/>
      <c r="U575" s="233"/>
      <c r="V575" s="238"/>
      <c r="W575" s="238"/>
      <c r="AK575" s="242"/>
      <c r="AM575" s="236"/>
    </row>
    <row r="576" ht="14.25" customHeight="1">
      <c r="B576" s="233"/>
      <c r="D576" s="234"/>
      <c r="H576" s="235"/>
      <c r="K576" s="236"/>
      <c r="L576" s="237"/>
      <c r="M576" s="233"/>
      <c r="N576" s="233"/>
      <c r="O576" s="233"/>
      <c r="P576" s="233"/>
      <c r="Q576" s="233"/>
      <c r="R576" s="233"/>
      <c r="S576" s="233"/>
      <c r="T576" s="237"/>
      <c r="U576" s="233"/>
      <c r="V576" s="238"/>
      <c r="W576" s="238"/>
      <c r="AK576" s="242"/>
      <c r="AM576" s="236"/>
    </row>
    <row r="577" ht="14.25" customHeight="1">
      <c r="B577" s="233"/>
      <c r="D577" s="234"/>
      <c r="H577" s="235"/>
      <c r="K577" s="236"/>
      <c r="L577" s="237"/>
      <c r="M577" s="233"/>
      <c r="N577" s="233"/>
      <c r="O577" s="233"/>
      <c r="P577" s="233"/>
      <c r="Q577" s="233"/>
      <c r="R577" s="233"/>
      <c r="S577" s="233"/>
      <c r="T577" s="237"/>
      <c r="U577" s="233"/>
      <c r="V577" s="238"/>
      <c r="W577" s="238"/>
      <c r="AK577" s="242"/>
      <c r="AM577" s="236"/>
    </row>
    <row r="578" ht="14.25" customHeight="1">
      <c r="B578" s="233"/>
      <c r="D578" s="234"/>
      <c r="H578" s="235"/>
      <c r="K578" s="236"/>
      <c r="L578" s="237"/>
      <c r="M578" s="233"/>
      <c r="N578" s="233"/>
      <c r="O578" s="233"/>
      <c r="P578" s="233"/>
      <c r="Q578" s="233"/>
      <c r="R578" s="233"/>
      <c r="S578" s="233"/>
      <c r="T578" s="237"/>
      <c r="U578" s="233"/>
      <c r="V578" s="238"/>
      <c r="W578" s="238"/>
      <c r="AK578" s="242"/>
      <c r="AM578" s="236"/>
    </row>
    <row r="579" ht="14.25" customHeight="1">
      <c r="B579" s="233"/>
      <c r="D579" s="234"/>
      <c r="H579" s="235"/>
      <c r="K579" s="236"/>
      <c r="L579" s="237"/>
      <c r="M579" s="233"/>
      <c r="N579" s="233"/>
      <c r="O579" s="233"/>
      <c r="P579" s="233"/>
      <c r="Q579" s="233"/>
      <c r="R579" s="233"/>
      <c r="S579" s="233"/>
      <c r="T579" s="237"/>
      <c r="U579" s="233"/>
      <c r="V579" s="238"/>
      <c r="W579" s="238"/>
      <c r="AK579" s="242"/>
      <c r="AM579" s="236"/>
    </row>
    <row r="580" ht="14.25" customHeight="1">
      <c r="B580" s="233"/>
      <c r="D580" s="234"/>
      <c r="H580" s="235"/>
      <c r="K580" s="236"/>
      <c r="L580" s="237"/>
      <c r="M580" s="233"/>
      <c r="N580" s="233"/>
      <c r="O580" s="233"/>
      <c r="P580" s="233"/>
      <c r="Q580" s="233"/>
      <c r="R580" s="233"/>
      <c r="S580" s="233"/>
      <c r="T580" s="237"/>
      <c r="U580" s="233"/>
      <c r="V580" s="238"/>
      <c r="W580" s="238"/>
      <c r="AK580" s="242"/>
      <c r="AM580" s="236"/>
    </row>
    <row r="581" ht="14.25" customHeight="1">
      <c r="B581" s="233"/>
      <c r="D581" s="234"/>
      <c r="H581" s="235"/>
      <c r="K581" s="236"/>
      <c r="L581" s="237"/>
      <c r="M581" s="233"/>
      <c r="N581" s="233"/>
      <c r="O581" s="233"/>
      <c r="P581" s="233"/>
      <c r="Q581" s="233"/>
      <c r="R581" s="233"/>
      <c r="S581" s="233"/>
      <c r="T581" s="237"/>
      <c r="U581" s="233"/>
      <c r="V581" s="238"/>
      <c r="W581" s="238"/>
      <c r="AK581" s="242"/>
      <c r="AM581" s="236"/>
    </row>
    <row r="582" ht="14.25" customHeight="1">
      <c r="B582" s="233"/>
      <c r="D582" s="234"/>
      <c r="H582" s="235"/>
      <c r="K582" s="236"/>
      <c r="L582" s="237"/>
      <c r="M582" s="233"/>
      <c r="N582" s="233"/>
      <c r="O582" s="233"/>
      <c r="P582" s="233"/>
      <c r="Q582" s="233"/>
      <c r="R582" s="233"/>
      <c r="S582" s="233"/>
      <c r="T582" s="237"/>
      <c r="U582" s="233"/>
      <c r="V582" s="238"/>
      <c r="W582" s="238"/>
      <c r="AK582" s="242"/>
      <c r="AM582" s="236"/>
    </row>
    <row r="583" ht="14.25" customHeight="1">
      <c r="B583" s="233"/>
      <c r="D583" s="234"/>
      <c r="H583" s="235"/>
      <c r="K583" s="236"/>
      <c r="L583" s="237"/>
      <c r="M583" s="233"/>
      <c r="N583" s="233"/>
      <c r="O583" s="233"/>
      <c r="P583" s="233"/>
      <c r="Q583" s="233"/>
      <c r="R583" s="233"/>
      <c r="S583" s="233"/>
      <c r="T583" s="237"/>
      <c r="U583" s="233"/>
      <c r="V583" s="238"/>
      <c r="W583" s="238"/>
      <c r="AK583" s="242"/>
      <c r="AM583" s="236"/>
    </row>
    <row r="584" ht="14.25" customHeight="1">
      <c r="B584" s="233"/>
      <c r="D584" s="234"/>
      <c r="H584" s="235"/>
      <c r="K584" s="236"/>
      <c r="L584" s="237"/>
      <c r="M584" s="233"/>
      <c r="N584" s="233"/>
      <c r="O584" s="233"/>
      <c r="P584" s="233"/>
      <c r="Q584" s="233"/>
      <c r="R584" s="233"/>
      <c r="S584" s="233"/>
      <c r="T584" s="237"/>
      <c r="U584" s="233"/>
      <c r="V584" s="238"/>
      <c r="W584" s="238"/>
      <c r="AK584" s="242"/>
      <c r="AM584" s="236"/>
    </row>
    <row r="585" ht="14.25" customHeight="1">
      <c r="B585" s="233"/>
      <c r="D585" s="234"/>
      <c r="H585" s="235"/>
      <c r="K585" s="236"/>
      <c r="L585" s="237"/>
      <c r="M585" s="233"/>
      <c r="N585" s="233"/>
      <c r="O585" s="233"/>
      <c r="P585" s="233"/>
      <c r="Q585" s="233"/>
      <c r="R585" s="233"/>
      <c r="S585" s="233"/>
      <c r="T585" s="237"/>
      <c r="U585" s="233"/>
      <c r="V585" s="238"/>
      <c r="W585" s="238"/>
      <c r="AK585" s="242"/>
      <c r="AM585" s="236"/>
    </row>
    <row r="586" ht="14.25" customHeight="1">
      <c r="B586" s="233"/>
      <c r="D586" s="234"/>
      <c r="H586" s="235"/>
      <c r="K586" s="236"/>
      <c r="L586" s="237"/>
      <c r="M586" s="233"/>
      <c r="N586" s="233"/>
      <c r="O586" s="233"/>
      <c r="P586" s="233"/>
      <c r="Q586" s="233"/>
      <c r="R586" s="233"/>
      <c r="S586" s="233"/>
      <c r="T586" s="237"/>
      <c r="U586" s="233"/>
      <c r="V586" s="238"/>
      <c r="W586" s="238"/>
      <c r="AK586" s="242"/>
      <c r="AM586" s="236"/>
    </row>
    <row r="587" ht="14.25" customHeight="1">
      <c r="B587" s="233"/>
      <c r="D587" s="234"/>
      <c r="H587" s="235"/>
      <c r="K587" s="236"/>
      <c r="L587" s="237"/>
      <c r="M587" s="233"/>
      <c r="N587" s="233"/>
      <c r="O587" s="233"/>
      <c r="P587" s="233"/>
      <c r="Q587" s="233"/>
      <c r="R587" s="233"/>
      <c r="S587" s="233"/>
      <c r="T587" s="237"/>
      <c r="U587" s="233"/>
      <c r="V587" s="238"/>
      <c r="W587" s="238"/>
      <c r="AK587" s="242"/>
      <c r="AM587" s="236"/>
    </row>
    <row r="588" ht="14.25" customHeight="1">
      <c r="B588" s="233"/>
      <c r="D588" s="234"/>
      <c r="H588" s="235"/>
      <c r="K588" s="236"/>
      <c r="L588" s="237"/>
      <c r="M588" s="233"/>
      <c r="N588" s="233"/>
      <c r="O588" s="233"/>
      <c r="P588" s="233"/>
      <c r="Q588" s="233"/>
      <c r="R588" s="233"/>
      <c r="S588" s="233"/>
      <c r="T588" s="237"/>
      <c r="U588" s="233"/>
      <c r="V588" s="238"/>
      <c r="W588" s="238"/>
      <c r="AK588" s="242"/>
      <c r="AM588" s="236"/>
    </row>
    <row r="589" ht="14.25" customHeight="1">
      <c r="B589" s="233"/>
      <c r="D589" s="234"/>
      <c r="H589" s="235"/>
      <c r="K589" s="236"/>
      <c r="L589" s="237"/>
      <c r="M589" s="233"/>
      <c r="N589" s="233"/>
      <c r="O589" s="233"/>
      <c r="P589" s="233"/>
      <c r="Q589" s="233"/>
      <c r="R589" s="233"/>
      <c r="S589" s="233"/>
      <c r="T589" s="237"/>
      <c r="U589" s="233"/>
      <c r="V589" s="238"/>
      <c r="W589" s="238"/>
      <c r="AK589" s="242"/>
      <c r="AM589" s="236"/>
    </row>
    <row r="590" ht="14.25" customHeight="1">
      <c r="B590" s="233"/>
      <c r="D590" s="234"/>
      <c r="H590" s="235"/>
      <c r="K590" s="236"/>
      <c r="L590" s="237"/>
      <c r="M590" s="233"/>
      <c r="N590" s="233"/>
      <c r="O590" s="233"/>
      <c r="P590" s="233"/>
      <c r="Q590" s="233"/>
      <c r="R590" s="233"/>
      <c r="S590" s="233"/>
      <c r="T590" s="237"/>
      <c r="U590" s="233"/>
      <c r="V590" s="238"/>
      <c r="W590" s="238"/>
      <c r="AK590" s="242"/>
      <c r="AM590" s="236"/>
    </row>
    <row r="591" ht="14.25" customHeight="1">
      <c r="B591" s="233"/>
      <c r="D591" s="234"/>
      <c r="H591" s="235"/>
      <c r="K591" s="236"/>
      <c r="L591" s="237"/>
      <c r="M591" s="233"/>
      <c r="N591" s="233"/>
      <c r="O591" s="233"/>
      <c r="P591" s="233"/>
      <c r="Q591" s="233"/>
      <c r="R591" s="233"/>
      <c r="S591" s="233"/>
      <c r="T591" s="237"/>
      <c r="U591" s="233"/>
      <c r="V591" s="238"/>
      <c r="W591" s="238"/>
      <c r="AK591" s="242"/>
      <c r="AM591" s="236"/>
    </row>
    <row r="592" ht="14.25" customHeight="1">
      <c r="B592" s="233"/>
      <c r="D592" s="234"/>
      <c r="H592" s="235"/>
      <c r="K592" s="236"/>
      <c r="L592" s="237"/>
      <c r="M592" s="233"/>
      <c r="N592" s="233"/>
      <c r="O592" s="233"/>
      <c r="P592" s="233"/>
      <c r="Q592" s="233"/>
      <c r="R592" s="233"/>
      <c r="S592" s="233"/>
      <c r="T592" s="237"/>
      <c r="U592" s="233"/>
      <c r="V592" s="238"/>
      <c r="W592" s="238"/>
      <c r="AK592" s="242"/>
      <c r="AM592" s="236"/>
    </row>
    <row r="593" ht="14.25" customHeight="1">
      <c r="B593" s="233"/>
      <c r="D593" s="234"/>
      <c r="H593" s="235"/>
      <c r="K593" s="236"/>
      <c r="L593" s="237"/>
      <c r="M593" s="233"/>
      <c r="N593" s="233"/>
      <c r="O593" s="233"/>
      <c r="P593" s="233"/>
      <c r="Q593" s="233"/>
      <c r="R593" s="233"/>
      <c r="S593" s="233"/>
      <c r="T593" s="237"/>
      <c r="U593" s="233"/>
      <c r="V593" s="238"/>
      <c r="W593" s="238"/>
      <c r="AK593" s="242"/>
      <c r="AM593" s="236"/>
    </row>
    <row r="594" ht="14.25" customHeight="1">
      <c r="B594" s="233"/>
      <c r="D594" s="234"/>
      <c r="H594" s="235"/>
      <c r="K594" s="236"/>
      <c r="L594" s="237"/>
      <c r="M594" s="233"/>
      <c r="N594" s="233"/>
      <c r="O594" s="233"/>
      <c r="P594" s="233"/>
      <c r="Q594" s="233"/>
      <c r="R594" s="233"/>
      <c r="S594" s="233"/>
      <c r="T594" s="237"/>
      <c r="U594" s="233"/>
      <c r="V594" s="238"/>
      <c r="W594" s="238"/>
      <c r="AK594" s="242"/>
      <c r="AM594" s="236"/>
    </row>
    <row r="595" ht="14.25" customHeight="1">
      <c r="B595" s="233"/>
      <c r="D595" s="234"/>
      <c r="H595" s="235"/>
      <c r="K595" s="236"/>
      <c r="L595" s="237"/>
      <c r="M595" s="233"/>
      <c r="N595" s="233"/>
      <c r="O595" s="233"/>
      <c r="P595" s="233"/>
      <c r="Q595" s="233"/>
      <c r="R595" s="233"/>
      <c r="S595" s="233"/>
      <c r="T595" s="237"/>
      <c r="U595" s="233"/>
      <c r="V595" s="238"/>
      <c r="W595" s="238"/>
      <c r="AK595" s="242"/>
      <c r="AM595" s="236"/>
    </row>
    <row r="596" ht="14.25" customHeight="1">
      <c r="B596" s="233"/>
      <c r="D596" s="234"/>
      <c r="H596" s="235"/>
      <c r="K596" s="236"/>
      <c r="L596" s="237"/>
      <c r="M596" s="233"/>
      <c r="N596" s="233"/>
      <c r="O596" s="233"/>
      <c r="P596" s="233"/>
      <c r="Q596" s="233"/>
      <c r="R596" s="233"/>
      <c r="S596" s="233"/>
      <c r="T596" s="237"/>
      <c r="U596" s="233"/>
      <c r="V596" s="238"/>
      <c r="W596" s="238"/>
      <c r="AK596" s="242"/>
      <c r="AM596" s="236"/>
    </row>
    <row r="597" ht="14.25" customHeight="1">
      <c r="B597" s="233"/>
      <c r="D597" s="234"/>
      <c r="H597" s="235"/>
      <c r="K597" s="236"/>
      <c r="L597" s="237"/>
      <c r="M597" s="233"/>
      <c r="N597" s="233"/>
      <c r="O597" s="233"/>
      <c r="P597" s="233"/>
      <c r="Q597" s="233"/>
      <c r="R597" s="233"/>
      <c r="S597" s="233"/>
      <c r="T597" s="237"/>
      <c r="U597" s="233"/>
      <c r="V597" s="238"/>
      <c r="W597" s="238"/>
      <c r="AK597" s="242"/>
      <c r="AM597" s="236"/>
    </row>
    <row r="598" ht="14.25" customHeight="1">
      <c r="B598" s="233"/>
      <c r="D598" s="234"/>
      <c r="H598" s="235"/>
      <c r="K598" s="236"/>
      <c r="L598" s="237"/>
      <c r="M598" s="233"/>
      <c r="N598" s="233"/>
      <c r="O598" s="233"/>
      <c r="P598" s="233"/>
      <c r="Q598" s="233"/>
      <c r="R598" s="233"/>
      <c r="S598" s="233"/>
      <c r="T598" s="237"/>
      <c r="U598" s="233"/>
      <c r="V598" s="238"/>
      <c r="W598" s="238"/>
      <c r="AK598" s="242"/>
      <c r="AM598" s="236"/>
    </row>
    <row r="599" ht="14.25" customHeight="1">
      <c r="B599" s="233"/>
      <c r="D599" s="234"/>
      <c r="H599" s="235"/>
      <c r="K599" s="236"/>
      <c r="L599" s="237"/>
      <c r="M599" s="233"/>
      <c r="N599" s="233"/>
      <c r="O599" s="233"/>
      <c r="P599" s="233"/>
      <c r="Q599" s="233"/>
      <c r="R599" s="233"/>
      <c r="S599" s="233"/>
      <c r="T599" s="237"/>
      <c r="U599" s="233"/>
      <c r="V599" s="238"/>
      <c r="W599" s="238"/>
      <c r="AK599" s="242"/>
      <c r="AM599" s="236"/>
    </row>
    <row r="600" ht="14.25" customHeight="1">
      <c r="B600" s="233"/>
      <c r="D600" s="234"/>
      <c r="H600" s="235"/>
      <c r="K600" s="236"/>
      <c r="L600" s="237"/>
      <c r="M600" s="233"/>
      <c r="N600" s="233"/>
      <c r="O600" s="233"/>
      <c r="P600" s="233"/>
      <c r="Q600" s="233"/>
      <c r="R600" s="233"/>
      <c r="S600" s="233"/>
      <c r="T600" s="237"/>
      <c r="U600" s="233"/>
      <c r="V600" s="238"/>
      <c r="W600" s="238"/>
      <c r="AK600" s="242"/>
      <c r="AM600" s="236"/>
    </row>
    <row r="601" ht="14.25" customHeight="1">
      <c r="B601" s="233"/>
      <c r="D601" s="234"/>
      <c r="H601" s="235"/>
      <c r="K601" s="236"/>
      <c r="L601" s="237"/>
      <c r="M601" s="233"/>
      <c r="N601" s="233"/>
      <c r="O601" s="233"/>
      <c r="P601" s="233"/>
      <c r="Q601" s="233"/>
      <c r="R601" s="233"/>
      <c r="S601" s="233"/>
      <c r="T601" s="237"/>
      <c r="U601" s="233"/>
      <c r="V601" s="238"/>
      <c r="W601" s="238"/>
      <c r="AK601" s="242"/>
      <c r="AM601" s="236"/>
    </row>
    <row r="602" ht="14.25" customHeight="1">
      <c r="B602" s="233"/>
      <c r="D602" s="234"/>
      <c r="H602" s="235"/>
      <c r="K602" s="236"/>
      <c r="L602" s="237"/>
      <c r="M602" s="233"/>
      <c r="N602" s="233"/>
      <c r="O602" s="233"/>
      <c r="P602" s="233"/>
      <c r="Q602" s="233"/>
      <c r="R602" s="233"/>
      <c r="S602" s="233"/>
      <c r="T602" s="237"/>
      <c r="U602" s="233"/>
      <c r="V602" s="238"/>
      <c r="W602" s="238"/>
      <c r="AK602" s="242"/>
      <c r="AM602" s="236"/>
    </row>
    <row r="603" ht="14.25" customHeight="1">
      <c r="B603" s="233"/>
      <c r="D603" s="234"/>
      <c r="H603" s="235"/>
      <c r="K603" s="236"/>
      <c r="L603" s="237"/>
      <c r="M603" s="233"/>
      <c r="N603" s="233"/>
      <c r="O603" s="233"/>
      <c r="P603" s="233"/>
      <c r="Q603" s="233"/>
      <c r="R603" s="233"/>
      <c r="S603" s="233"/>
      <c r="T603" s="237"/>
      <c r="U603" s="233"/>
      <c r="V603" s="238"/>
      <c r="W603" s="238"/>
      <c r="AK603" s="242"/>
      <c r="AM603" s="236"/>
    </row>
    <row r="604" ht="14.25" customHeight="1">
      <c r="B604" s="233"/>
      <c r="D604" s="234"/>
      <c r="H604" s="235"/>
      <c r="K604" s="236"/>
      <c r="L604" s="237"/>
      <c r="M604" s="233"/>
      <c r="N604" s="233"/>
      <c r="O604" s="233"/>
      <c r="P604" s="233"/>
      <c r="Q604" s="233"/>
      <c r="R604" s="233"/>
      <c r="S604" s="233"/>
      <c r="T604" s="237"/>
      <c r="U604" s="233"/>
      <c r="V604" s="238"/>
      <c r="W604" s="238"/>
      <c r="AK604" s="242"/>
      <c r="AM604" s="236"/>
    </row>
    <row r="605" ht="14.25" customHeight="1">
      <c r="B605" s="233"/>
      <c r="D605" s="234"/>
      <c r="H605" s="235"/>
      <c r="K605" s="236"/>
      <c r="L605" s="237"/>
      <c r="M605" s="233"/>
      <c r="N605" s="233"/>
      <c r="O605" s="233"/>
      <c r="P605" s="233"/>
      <c r="Q605" s="233"/>
      <c r="R605" s="233"/>
      <c r="S605" s="233"/>
      <c r="T605" s="237"/>
      <c r="U605" s="233"/>
      <c r="V605" s="238"/>
      <c r="W605" s="238"/>
      <c r="AK605" s="242"/>
      <c r="AM605" s="236"/>
    </row>
    <row r="606" ht="14.25" customHeight="1">
      <c r="B606" s="233"/>
      <c r="D606" s="234"/>
      <c r="H606" s="235"/>
      <c r="K606" s="236"/>
      <c r="L606" s="237"/>
      <c r="M606" s="233"/>
      <c r="N606" s="233"/>
      <c r="O606" s="233"/>
      <c r="P606" s="233"/>
      <c r="Q606" s="233"/>
      <c r="R606" s="233"/>
      <c r="S606" s="233"/>
      <c r="T606" s="237"/>
      <c r="U606" s="233"/>
      <c r="V606" s="238"/>
      <c r="W606" s="238"/>
      <c r="AK606" s="242"/>
      <c r="AM606" s="236"/>
    </row>
    <row r="607" ht="14.25" customHeight="1">
      <c r="B607" s="233"/>
      <c r="D607" s="234"/>
      <c r="H607" s="235"/>
      <c r="K607" s="236"/>
      <c r="L607" s="237"/>
      <c r="M607" s="233"/>
      <c r="N607" s="233"/>
      <c r="O607" s="233"/>
      <c r="P607" s="233"/>
      <c r="Q607" s="233"/>
      <c r="R607" s="233"/>
      <c r="S607" s="233"/>
      <c r="T607" s="237"/>
      <c r="U607" s="233"/>
      <c r="V607" s="238"/>
      <c r="W607" s="238"/>
      <c r="AK607" s="242"/>
      <c r="AM607" s="236"/>
    </row>
    <row r="608" ht="14.25" customHeight="1">
      <c r="B608" s="233"/>
      <c r="D608" s="234"/>
      <c r="H608" s="235"/>
      <c r="K608" s="236"/>
      <c r="L608" s="237"/>
      <c r="M608" s="233"/>
      <c r="N608" s="233"/>
      <c r="O608" s="233"/>
      <c r="P608" s="233"/>
      <c r="Q608" s="233"/>
      <c r="R608" s="233"/>
      <c r="S608" s="233"/>
      <c r="T608" s="237"/>
      <c r="U608" s="233"/>
      <c r="V608" s="238"/>
      <c r="W608" s="238"/>
      <c r="AK608" s="242"/>
      <c r="AM608" s="236"/>
    </row>
    <row r="609" ht="14.25" customHeight="1">
      <c r="B609" s="233"/>
      <c r="D609" s="234"/>
      <c r="H609" s="235"/>
      <c r="K609" s="236"/>
      <c r="L609" s="237"/>
      <c r="M609" s="233"/>
      <c r="N609" s="233"/>
      <c r="O609" s="233"/>
      <c r="P609" s="233"/>
      <c r="Q609" s="233"/>
      <c r="R609" s="233"/>
      <c r="S609" s="233"/>
      <c r="T609" s="237"/>
      <c r="U609" s="233"/>
      <c r="V609" s="238"/>
      <c r="W609" s="238"/>
      <c r="AK609" s="242"/>
      <c r="AM609" s="236"/>
    </row>
    <row r="610" ht="14.25" customHeight="1">
      <c r="B610" s="233"/>
      <c r="D610" s="234"/>
      <c r="H610" s="235"/>
      <c r="K610" s="236"/>
      <c r="L610" s="237"/>
      <c r="M610" s="233"/>
      <c r="N610" s="233"/>
      <c r="O610" s="233"/>
      <c r="P610" s="233"/>
      <c r="Q610" s="233"/>
      <c r="R610" s="233"/>
      <c r="S610" s="233"/>
      <c r="T610" s="237"/>
      <c r="U610" s="233"/>
      <c r="V610" s="238"/>
      <c r="W610" s="238"/>
      <c r="AK610" s="242"/>
      <c r="AM610" s="236"/>
    </row>
    <row r="611" ht="14.25" customHeight="1">
      <c r="B611" s="233"/>
      <c r="D611" s="234"/>
      <c r="H611" s="235"/>
      <c r="K611" s="236"/>
      <c r="L611" s="237"/>
      <c r="M611" s="233"/>
      <c r="N611" s="233"/>
      <c r="O611" s="233"/>
      <c r="P611" s="233"/>
      <c r="Q611" s="233"/>
      <c r="R611" s="233"/>
      <c r="S611" s="233"/>
      <c r="T611" s="237"/>
      <c r="U611" s="233"/>
      <c r="V611" s="238"/>
      <c r="W611" s="238"/>
      <c r="AK611" s="242"/>
      <c r="AM611" s="236"/>
    </row>
    <row r="612" ht="14.25" customHeight="1">
      <c r="B612" s="233"/>
      <c r="D612" s="234"/>
      <c r="H612" s="235"/>
      <c r="K612" s="236"/>
      <c r="L612" s="237"/>
      <c r="M612" s="233"/>
      <c r="N612" s="233"/>
      <c r="O612" s="233"/>
      <c r="P612" s="233"/>
      <c r="Q612" s="233"/>
      <c r="R612" s="233"/>
      <c r="S612" s="233"/>
      <c r="T612" s="237"/>
      <c r="U612" s="233"/>
      <c r="V612" s="238"/>
      <c r="W612" s="238"/>
      <c r="AK612" s="242"/>
      <c r="AM612" s="236"/>
    </row>
    <row r="613" ht="14.25" customHeight="1">
      <c r="B613" s="233"/>
      <c r="D613" s="234"/>
      <c r="H613" s="235"/>
      <c r="K613" s="236"/>
      <c r="L613" s="237"/>
      <c r="M613" s="233"/>
      <c r="N613" s="233"/>
      <c r="O613" s="233"/>
      <c r="P613" s="233"/>
      <c r="Q613" s="233"/>
      <c r="R613" s="233"/>
      <c r="S613" s="233"/>
      <c r="T613" s="237"/>
      <c r="U613" s="233"/>
      <c r="V613" s="238"/>
      <c r="W613" s="238"/>
      <c r="AK613" s="242"/>
      <c r="AM613" s="236"/>
    </row>
    <row r="614" ht="14.25" customHeight="1">
      <c r="B614" s="233"/>
      <c r="D614" s="234"/>
      <c r="H614" s="235"/>
      <c r="K614" s="236"/>
      <c r="L614" s="237"/>
      <c r="M614" s="233"/>
      <c r="N614" s="233"/>
      <c r="O614" s="233"/>
      <c r="P614" s="233"/>
      <c r="Q614" s="233"/>
      <c r="R614" s="233"/>
      <c r="S614" s="233"/>
      <c r="T614" s="237"/>
      <c r="U614" s="233"/>
      <c r="V614" s="238"/>
      <c r="W614" s="238"/>
      <c r="AK614" s="242"/>
      <c r="AM614" s="236"/>
    </row>
    <row r="615" ht="14.25" customHeight="1">
      <c r="B615" s="233"/>
      <c r="D615" s="234"/>
      <c r="H615" s="235"/>
      <c r="K615" s="236"/>
      <c r="L615" s="237"/>
      <c r="M615" s="233"/>
      <c r="N615" s="233"/>
      <c r="O615" s="233"/>
      <c r="P615" s="233"/>
      <c r="Q615" s="233"/>
      <c r="R615" s="233"/>
      <c r="S615" s="233"/>
      <c r="T615" s="237"/>
      <c r="U615" s="233"/>
      <c r="V615" s="238"/>
      <c r="W615" s="238"/>
      <c r="AK615" s="242"/>
      <c r="AM615" s="236"/>
    </row>
    <row r="616" ht="14.25" customHeight="1">
      <c r="B616" s="233"/>
      <c r="D616" s="234"/>
      <c r="H616" s="235"/>
      <c r="K616" s="236"/>
      <c r="L616" s="237"/>
      <c r="M616" s="233"/>
      <c r="N616" s="233"/>
      <c r="O616" s="233"/>
      <c r="P616" s="233"/>
      <c r="Q616" s="233"/>
      <c r="R616" s="233"/>
      <c r="S616" s="233"/>
      <c r="T616" s="237"/>
      <c r="U616" s="233"/>
      <c r="V616" s="238"/>
      <c r="W616" s="238"/>
      <c r="AK616" s="242"/>
      <c r="AM616" s="236"/>
    </row>
    <row r="617" ht="14.25" customHeight="1">
      <c r="B617" s="233"/>
      <c r="D617" s="234"/>
      <c r="H617" s="235"/>
      <c r="K617" s="236"/>
      <c r="L617" s="237"/>
      <c r="M617" s="233"/>
      <c r="N617" s="233"/>
      <c r="O617" s="233"/>
      <c r="P617" s="233"/>
      <c r="Q617" s="233"/>
      <c r="R617" s="233"/>
      <c r="S617" s="233"/>
      <c r="T617" s="237"/>
      <c r="U617" s="233"/>
      <c r="V617" s="238"/>
      <c r="W617" s="238"/>
      <c r="AK617" s="242"/>
      <c r="AM617" s="236"/>
    </row>
    <row r="618" ht="14.25" customHeight="1">
      <c r="B618" s="233"/>
      <c r="D618" s="234"/>
      <c r="H618" s="235"/>
      <c r="K618" s="236"/>
      <c r="L618" s="237"/>
      <c r="M618" s="233"/>
      <c r="N618" s="233"/>
      <c r="O618" s="233"/>
      <c r="P618" s="233"/>
      <c r="Q618" s="233"/>
      <c r="R618" s="233"/>
      <c r="S618" s="233"/>
      <c r="T618" s="237"/>
      <c r="U618" s="233"/>
      <c r="V618" s="238"/>
      <c r="W618" s="238"/>
      <c r="AK618" s="242"/>
      <c r="AM618" s="236"/>
    </row>
    <row r="619" ht="14.25" customHeight="1">
      <c r="B619" s="233"/>
      <c r="D619" s="234"/>
      <c r="H619" s="235"/>
      <c r="K619" s="236"/>
      <c r="L619" s="237"/>
      <c r="M619" s="233"/>
      <c r="N619" s="233"/>
      <c r="O619" s="233"/>
      <c r="P619" s="233"/>
      <c r="Q619" s="233"/>
      <c r="R619" s="233"/>
      <c r="S619" s="233"/>
      <c r="T619" s="237"/>
      <c r="U619" s="233"/>
      <c r="V619" s="238"/>
      <c r="W619" s="238"/>
      <c r="AK619" s="242"/>
      <c r="AM619" s="236"/>
    </row>
    <row r="620" ht="14.25" customHeight="1">
      <c r="B620" s="233"/>
      <c r="D620" s="234"/>
      <c r="H620" s="235"/>
      <c r="K620" s="236"/>
      <c r="L620" s="237"/>
      <c r="M620" s="233"/>
      <c r="N620" s="233"/>
      <c r="O620" s="233"/>
      <c r="P620" s="233"/>
      <c r="Q620" s="233"/>
      <c r="R620" s="233"/>
      <c r="S620" s="233"/>
      <c r="T620" s="237"/>
      <c r="U620" s="233"/>
      <c r="V620" s="238"/>
      <c r="W620" s="238"/>
      <c r="AK620" s="242"/>
      <c r="AM620" s="236"/>
    </row>
    <row r="621" ht="14.25" customHeight="1">
      <c r="B621" s="233"/>
      <c r="D621" s="234"/>
      <c r="H621" s="235"/>
      <c r="K621" s="236"/>
      <c r="L621" s="237"/>
      <c r="M621" s="233"/>
      <c r="N621" s="233"/>
      <c r="O621" s="233"/>
      <c r="P621" s="233"/>
      <c r="Q621" s="233"/>
      <c r="R621" s="233"/>
      <c r="S621" s="233"/>
      <c r="T621" s="237"/>
      <c r="U621" s="233"/>
      <c r="V621" s="238"/>
      <c r="W621" s="238"/>
      <c r="AK621" s="242"/>
      <c r="AM621" s="236"/>
    </row>
    <row r="622" ht="14.25" customHeight="1">
      <c r="B622" s="233"/>
      <c r="D622" s="234"/>
      <c r="H622" s="235"/>
      <c r="K622" s="236"/>
      <c r="L622" s="237"/>
      <c r="M622" s="233"/>
      <c r="N622" s="233"/>
      <c r="O622" s="233"/>
      <c r="P622" s="233"/>
      <c r="Q622" s="233"/>
      <c r="R622" s="233"/>
      <c r="S622" s="233"/>
      <c r="T622" s="237"/>
      <c r="U622" s="233"/>
      <c r="V622" s="238"/>
      <c r="W622" s="238"/>
      <c r="AK622" s="242"/>
      <c r="AM622" s="236"/>
    </row>
    <row r="623" ht="14.25" customHeight="1">
      <c r="B623" s="233"/>
      <c r="D623" s="234"/>
      <c r="H623" s="235"/>
      <c r="K623" s="236"/>
      <c r="L623" s="237"/>
      <c r="M623" s="233"/>
      <c r="N623" s="233"/>
      <c r="O623" s="233"/>
      <c r="P623" s="233"/>
      <c r="Q623" s="233"/>
      <c r="R623" s="233"/>
      <c r="S623" s="233"/>
      <c r="T623" s="237"/>
      <c r="U623" s="233"/>
      <c r="V623" s="238"/>
      <c r="W623" s="238"/>
      <c r="AK623" s="242"/>
      <c r="AM623" s="236"/>
    </row>
    <row r="624" ht="14.25" customHeight="1">
      <c r="B624" s="233"/>
      <c r="D624" s="234"/>
      <c r="H624" s="235"/>
      <c r="K624" s="236"/>
      <c r="L624" s="237"/>
      <c r="M624" s="233"/>
      <c r="N624" s="233"/>
      <c r="O624" s="233"/>
      <c r="P624" s="233"/>
      <c r="Q624" s="233"/>
      <c r="R624" s="233"/>
      <c r="S624" s="233"/>
      <c r="T624" s="237"/>
      <c r="U624" s="233"/>
      <c r="V624" s="238"/>
      <c r="W624" s="238"/>
      <c r="AK624" s="242"/>
      <c r="AM624" s="236"/>
    </row>
    <row r="625" ht="14.25" customHeight="1">
      <c r="B625" s="233"/>
      <c r="D625" s="234"/>
      <c r="H625" s="235"/>
      <c r="K625" s="236"/>
      <c r="L625" s="237"/>
      <c r="M625" s="233"/>
      <c r="N625" s="233"/>
      <c r="O625" s="233"/>
      <c r="P625" s="233"/>
      <c r="Q625" s="233"/>
      <c r="R625" s="233"/>
      <c r="S625" s="233"/>
      <c r="T625" s="237"/>
      <c r="U625" s="233"/>
      <c r="V625" s="238"/>
      <c r="W625" s="238"/>
      <c r="AK625" s="242"/>
      <c r="AM625" s="236"/>
    </row>
    <row r="626" ht="14.25" customHeight="1">
      <c r="B626" s="233"/>
      <c r="D626" s="234"/>
      <c r="H626" s="235"/>
      <c r="K626" s="236"/>
      <c r="L626" s="237"/>
      <c r="M626" s="233"/>
      <c r="N626" s="233"/>
      <c r="O626" s="233"/>
      <c r="P626" s="233"/>
      <c r="Q626" s="233"/>
      <c r="R626" s="233"/>
      <c r="S626" s="233"/>
      <c r="T626" s="237"/>
      <c r="U626" s="233"/>
      <c r="V626" s="238"/>
      <c r="W626" s="238"/>
      <c r="AK626" s="242"/>
      <c r="AM626" s="236"/>
    </row>
    <row r="627" ht="14.25" customHeight="1">
      <c r="B627" s="233"/>
      <c r="D627" s="234"/>
      <c r="H627" s="235"/>
      <c r="K627" s="236"/>
      <c r="L627" s="237"/>
      <c r="M627" s="233"/>
      <c r="N627" s="233"/>
      <c r="O627" s="233"/>
      <c r="P627" s="233"/>
      <c r="Q627" s="233"/>
      <c r="R627" s="233"/>
      <c r="S627" s="233"/>
      <c r="T627" s="237"/>
      <c r="U627" s="233"/>
      <c r="V627" s="238"/>
      <c r="W627" s="238"/>
      <c r="AK627" s="242"/>
      <c r="AM627" s="236"/>
    </row>
    <row r="628" ht="14.25" customHeight="1">
      <c r="B628" s="233"/>
      <c r="D628" s="234"/>
      <c r="H628" s="235"/>
      <c r="K628" s="236"/>
      <c r="L628" s="237"/>
      <c r="M628" s="233"/>
      <c r="N628" s="233"/>
      <c r="O628" s="233"/>
      <c r="P628" s="233"/>
      <c r="Q628" s="233"/>
      <c r="R628" s="233"/>
      <c r="S628" s="233"/>
      <c r="T628" s="237"/>
      <c r="U628" s="233"/>
      <c r="V628" s="238"/>
      <c r="W628" s="238"/>
      <c r="AK628" s="242"/>
      <c r="AM628" s="236"/>
    </row>
    <row r="629" ht="14.25" customHeight="1">
      <c r="B629" s="233"/>
      <c r="D629" s="234"/>
      <c r="H629" s="235"/>
      <c r="K629" s="236"/>
      <c r="L629" s="237"/>
      <c r="M629" s="233"/>
      <c r="N629" s="233"/>
      <c r="O629" s="233"/>
      <c r="P629" s="233"/>
      <c r="Q629" s="233"/>
      <c r="R629" s="233"/>
      <c r="S629" s="233"/>
      <c r="T629" s="237"/>
      <c r="U629" s="233"/>
      <c r="V629" s="238"/>
      <c r="W629" s="238"/>
      <c r="AK629" s="242"/>
      <c r="AM629" s="236"/>
    </row>
    <row r="630" ht="14.25" customHeight="1">
      <c r="B630" s="233"/>
      <c r="D630" s="234"/>
      <c r="H630" s="235"/>
      <c r="K630" s="236"/>
      <c r="L630" s="237"/>
      <c r="M630" s="233"/>
      <c r="N630" s="233"/>
      <c r="O630" s="233"/>
      <c r="P630" s="233"/>
      <c r="Q630" s="233"/>
      <c r="R630" s="233"/>
      <c r="S630" s="233"/>
      <c r="T630" s="237"/>
      <c r="U630" s="233"/>
      <c r="V630" s="238"/>
      <c r="W630" s="238"/>
      <c r="AK630" s="242"/>
      <c r="AM630" s="236"/>
    </row>
    <row r="631" ht="14.25" customHeight="1">
      <c r="B631" s="233"/>
      <c r="D631" s="234"/>
      <c r="H631" s="235"/>
      <c r="K631" s="236"/>
      <c r="L631" s="237"/>
      <c r="M631" s="233"/>
      <c r="N631" s="233"/>
      <c r="O631" s="233"/>
      <c r="P631" s="233"/>
      <c r="Q631" s="233"/>
      <c r="R631" s="233"/>
      <c r="S631" s="233"/>
      <c r="T631" s="237"/>
      <c r="U631" s="233"/>
      <c r="V631" s="238"/>
      <c r="W631" s="238"/>
      <c r="AK631" s="242"/>
      <c r="AM631" s="236"/>
    </row>
    <row r="632" ht="14.25" customHeight="1">
      <c r="B632" s="233"/>
      <c r="D632" s="234"/>
      <c r="H632" s="235"/>
      <c r="K632" s="236"/>
      <c r="L632" s="237"/>
      <c r="M632" s="233"/>
      <c r="N632" s="233"/>
      <c r="O632" s="233"/>
      <c r="P632" s="233"/>
      <c r="Q632" s="233"/>
      <c r="R632" s="233"/>
      <c r="S632" s="233"/>
      <c r="T632" s="237"/>
      <c r="U632" s="233"/>
      <c r="V632" s="238"/>
      <c r="W632" s="238"/>
      <c r="AK632" s="242"/>
      <c r="AM632" s="236"/>
    </row>
    <row r="633" ht="14.25" customHeight="1">
      <c r="B633" s="233"/>
      <c r="D633" s="234"/>
      <c r="H633" s="235"/>
      <c r="K633" s="236"/>
      <c r="L633" s="237"/>
      <c r="M633" s="233"/>
      <c r="N633" s="233"/>
      <c r="O633" s="233"/>
      <c r="P633" s="233"/>
      <c r="Q633" s="233"/>
      <c r="R633" s="233"/>
      <c r="S633" s="233"/>
      <c r="T633" s="237"/>
      <c r="U633" s="233"/>
      <c r="V633" s="238"/>
      <c r="W633" s="238"/>
      <c r="AK633" s="242"/>
      <c r="AM633" s="236"/>
    </row>
    <row r="634" ht="14.25" customHeight="1">
      <c r="B634" s="233"/>
      <c r="D634" s="234"/>
      <c r="H634" s="235"/>
      <c r="K634" s="236"/>
      <c r="L634" s="237"/>
      <c r="M634" s="233"/>
      <c r="N634" s="233"/>
      <c r="O634" s="233"/>
      <c r="P634" s="233"/>
      <c r="Q634" s="233"/>
      <c r="R634" s="233"/>
      <c r="S634" s="233"/>
      <c r="T634" s="237"/>
      <c r="U634" s="233"/>
      <c r="V634" s="238"/>
      <c r="W634" s="238"/>
      <c r="AK634" s="242"/>
      <c r="AM634" s="236"/>
    </row>
    <row r="635" ht="14.25" customHeight="1">
      <c r="B635" s="233"/>
      <c r="D635" s="234"/>
      <c r="H635" s="235"/>
      <c r="K635" s="236"/>
      <c r="L635" s="237"/>
      <c r="M635" s="233"/>
      <c r="N635" s="233"/>
      <c r="O635" s="233"/>
      <c r="P635" s="233"/>
      <c r="Q635" s="233"/>
      <c r="R635" s="233"/>
      <c r="S635" s="233"/>
      <c r="T635" s="237"/>
      <c r="U635" s="233"/>
      <c r="V635" s="238"/>
      <c r="W635" s="238"/>
      <c r="AK635" s="242"/>
      <c r="AM635" s="236"/>
    </row>
    <row r="636" ht="14.25" customHeight="1">
      <c r="B636" s="233"/>
      <c r="D636" s="234"/>
      <c r="H636" s="235"/>
      <c r="K636" s="236"/>
      <c r="L636" s="237"/>
      <c r="M636" s="233"/>
      <c r="N636" s="233"/>
      <c r="O636" s="233"/>
      <c r="P636" s="233"/>
      <c r="Q636" s="233"/>
      <c r="R636" s="233"/>
      <c r="S636" s="233"/>
      <c r="T636" s="237"/>
      <c r="U636" s="233"/>
      <c r="V636" s="238"/>
      <c r="W636" s="238"/>
      <c r="AK636" s="242"/>
      <c r="AM636" s="236"/>
    </row>
    <row r="637" ht="14.25" customHeight="1">
      <c r="B637" s="233"/>
      <c r="D637" s="234"/>
      <c r="H637" s="235"/>
      <c r="K637" s="236"/>
      <c r="L637" s="237"/>
      <c r="M637" s="233"/>
      <c r="N637" s="233"/>
      <c r="O637" s="233"/>
      <c r="P637" s="233"/>
      <c r="Q637" s="233"/>
      <c r="R637" s="233"/>
      <c r="S637" s="233"/>
      <c r="T637" s="237"/>
      <c r="U637" s="233"/>
      <c r="V637" s="238"/>
      <c r="W637" s="238"/>
      <c r="AK637" s="242"/>
      <c r="AM637" s="236"/>
    </row>
    <row r="638" ht="14.25" customHeight="1">
      <c r="B638" s="233"/>
      <c r="D638" s="234"/>
      <c r="H638" s="235"/>
      <c r="K638" s="236"/>
      <c r="L638" s="237"/>
      <c r="M638" s="233"/>
      <c r="N638" s="233"/>
      <c r="O638" s="233"/>
      <c r="P638" s="233"/>
      <c r="Q638" s="233"/>
      <c r="R638" s="233"/>
      <c r="S638" s="233"/>
      <c r="T638" s="237"/>
      <c r="U638" s="233"/>
      <c r="V638" s="238"/>
      <c r="W638" s="238"/>
      <c r="AK638" s="242"/>
      <c r="AM638" s="236"/>
    </row>
    <row r="639" ht="14.25" customHeight="1">
      <c r="B639" s="233"/>
      <c r="D639" s="234"/>
      <c r="H639" s="235"/>
      <c r="K639" s="236"/>
      <c r="L639" s="237"/>
      <c r="M639" s="233"/>
      <c r="N639" s="233"/>
      <c r="O639" s="233"/>
      <c r="P639" s="233"/>
      <c r="Q639" s="233"/>
      <c r="R639" s="233"/>
      <c r="S639" s="233"/>
      <c r="T639" s="237"/>
      <c r="U639" s="233"/>
      <c r="V639" s="238"/>
      <c r="W639" s="238"/>
      <c r="AK639" s="242"/>
      <c r="AM639" s="236"/>
    </row>
    <row r="640" ht="14.25" customHeight="1">
      <c r="B640" s="233"/>
      <c r="D640" s="234"/>
      <c r="H640" s="235"/>
      <c r="K640" s="236"/>
      <c r="L640" s="237"/>
      <c r="M640" s="233"/>
      <c r="N640" s="233"/>
      <c r="O640" s="233"/>
      <c r="P640" s="233"/>
      <c r="Q640" s="233"/>
      <c r="R640" s="233"/>
      <c r="S640" s="233"/>
      <c r="T640" s="237"/>
      <c r="U640" s="233"/>
      <c r="V640" s="238"/>
      <c r="W640" s="238"/>
      <c r="AK640" s="242"/>
      <c r="AM640" s="236"/>
    </row>
    <row r="641" ht="14.25" customHeight="1">
      <c r="B641" s="233"/>
      <c r="D641" s="234"/>
      <c r="H641" s="235"/>
      <c r="K641" s="236"/>
      <c r="L641" s="237"/>
      <c r="M641" s="233"/>
      <c r="N641" s="233"/>
      <c r="O641" s="233"/>
      <c r="P641" s="233"/>
      <c r="Q641" s="233"/>
      <c r="R641" s="233"/>
      <c r="S641" s="233"/>
      <c r="T641" s="237"/>
      <c r="U641" s="233"/>
      <c r="V641" s="238"/>
      <c r="W641" s="238"/>
      <c r="AK641" s="242"/>
      <c r="AM641" s="236"/>
    </row>
    <row r="642" ht="14.25" customHeight="1">
      <c r="B642" s="233"/>
      <c r="D642" s="234"/>
      <c r="H642" s="235"/>
      <c r="K642" s="236"/>
      <c r="L642" s="237"/>
      <c r="M642" s="233"/>
      <c r="N642" s="233"/>
      <c r="O642" s="233"/>
      <c r="P642" s="233"/>
      <c r="Q642" s="233"/>
      <c r="R642" s="233"/>
      <c r="S642" s="233"/>
      <c r="T642" s="237"/>
      <c r="U642" s="233"/>
      <c r="V642" s="238"/>
      <c r="W642" s="238"/>
      <c r="AK642" s="242"/>
      <c r="AM642" s="236"/>
    </row>
    <row r="643" ht="14.25" customHeight="1">
      <c r="B643" s="233"/>
      <c r="D643" s="234"/>
      <c r="H643" s="235"/>
      <c r="K643" s="236"/>
      <c r="L643" s="237"/>
      <c r="M643" s="233"/>
      <c r="N643" s="233"/>
      <c r="O643" s="233"/>
      <c r="P643" s="233"/>
      <c r="Q643" s="233"/>
      <c r="R643" s="233"/>
      <c r="S643" s="233"/>
      <c r="T643" s="237"/>
      <c r="U643" s="233"/>
      <c r="V643" s="238"/>
      <c r="W643" s="238"/>
      <c r="AK643" s="242"/>
      <c r="AM643" s="236"/>
    </row>
    <row r="644" ht="14.25" customHeight="1">
      <c r="B644" s="233"/>
      <c r="D644" s="234"/>
      <c r="H644" s="235"/>
      <c r="K644" s="236"/>
      <c r="L644" s="237"/>
      <c r="M644" s="233"/>
      <c r="N644" s="233"/>
      <c r="O644" s="233"/>
      <c r="P644" s="233"/>
      <c r="Q644" s="233"/>
      <c r="R644" s="233"/>
      <c r="S644" s="233"/>
      <c r="T644" s="237"/>
      <c r="U644" s="233"/>
      <c r="V644" s="238"/>
      <c r="W644" s="238"/>
      <c r="AK644" s="242"/>
      <c r="AM644" s="236"/>
    </row>
    <row r="645" ht="14.25" customHeight="1">
      <c r="B645" s="233"/>
      <c r="D645" s="234"/>
      <c r="H645" s="235"/>
      <c r="K645" s="236"/>
      <c r="L645" s="237"/>
      <c r="M645" s="233"/>
      <c r="N645" s="233"/>
      <c r="O645" s="233"/>
      <c r="P645" s="233"/>
      <c r="Q645" s="233"/>
      <c r="R645" s="233"/>
      <c r="S645" s="233"/>
      <c r="T645" s="237"/>
      <c r="U645" s="233"/>
      <c r="V645" s="238"/>
      <c r="W645" s="238"/>
      <c r="AK645" s="242"/>
      <c r="AM645" s="236"/>
    </row>
    <row r="646" ht="14.25" customHeight="1">
      <c r="B646" s="233"/>
      <c r="D646" s="234"/>
      <c r="H646" s="235"/>
      <c r="K646" s="236"/>
      <c r="L646" s="237"/>
      <c r="M646" s="233"/>
      <c r="N646" s="233"/>
      <c r="O646" s="233"/>
      <c r="P646" s="233"/>
      <c r="Q646" s="233"/>
      <c r="R646" s="233"/>
      <c r="S646" s="233"/>
      <c r="T646" s="237"/>
      <c r="U646" s="233"/>
      <c r="V646" s="238"/>
      <c r="W646" s="238"/>
      <c r="AK646" s="242"/>
      <c r="AM646" s="236"/>
    </row>
    <row r="647" ht="14.25" customHeight="1">
      <c r="B647" s="233"/>
      <c r="D647" s="234"/>
      <c r="H647" s="235"/>
      <c r="K647" s="236"/>
      <c r="L647" s="237"/>
      <c r="M647" s="233"/>
      <c r="N647" s="233"/>
      <c r="O647" s="233"/>
      <c r="P647" s="233"/>
      <c r="Q647" s="233"/>
      <c r="R647" s="233"/>
      <c r="S647" s="233"/>
      <c r="T647" s="237"/>
      <c r="U647" s="233"/>
      <c r="V647" s="238"/>
      <c r="W647" s="238"/>
      <c r="AK647" s="242"/>
      <c r="AM647" s="236"/>
    </row>
    <row r="648" ht="14.25" customHeight="1">
      <c r="B648" s="233"/>
      <c r="D648" s="234"/>
      <c r="H648" s="235"/>
      <c r="K648" s="236"/>
      <c r="L648" s="237"/>
      <c r="M648" s="233"/>
      <c r="N648" s="233"/>
      <c r="O648" s="233"/>
      <c r="P648" s="233"/>
      <c r="Q648" s="233"/>
      <c r="R648" s="233"/>
      <c r="S648" s="233"/>
      <c r="T648" s="237"/>
      <c r="U648" s="233"/>
      <c r="V648" s="238"/>
      <c r="W648" s="238"/>
      <c r="AK648" s="242"/>
      <c r="AM648" s="236"/>
    </row>
    <row r="649" ht="14.25" customHeight="1">
      <c r="B649" s="233"/>
      <c r="D649" s="234"/>
      <c r="H649" s="235"/>
      <c r="K649" s="236"/>
      <c r="L649" s="237"/>
      <c r="M649" s="233"/>
      <c r="N649" s="233"/>
      <c r="O649" s="233"/>
      <c r="P649" s="233"/>
      <c r="Q649" s="233"/>
      <c r="R649" s="233"/>
      <c r="S649" s="233"/>
      <c r="T649" s="237"/>
      <c r="U649" s="233"/>
      <c r="V649" s="238"/>
      <c r="W649" s="238"/>
      <c r="AK649" s="242"/>
      <c r="AM649" s="236"/>
    </row>
    <row r="650" ht="14.25" customHeight="1">
      <c r="B650" s="233"/>
      <c r="D650" s="234"/>
      <c r="H650" s="235"/>
      <c r="K650" s="236"/>
      <c r="L650" s="237"/>
      <c r="M650" s="233"/>
      <c r="N650" s="233"/>
      <c r="O650" s="233"/>
      <c r="P650" s="233"/>
      <c r="Q650" s="233"/>
      <c r="R650" s="233"/>
      <c r="S650" s="233"/>
      <c r="T650" s="237"/>
      <c r="U650" s="233"/>
      <c r="V650" s="238"/>
      <c r="W650" s="238"/>
      <c r="AK650" s="242"/>
      <c r="AM650" s="236"/>
    </row>
    <row r="651" ht="14.25" customHeight="1">
      <c r="B651" s="233"/>
      <c r="D651" s="234"/>
      <c r="H651" s="235"/>
      <c r="K651" s="236"/>
      <c r="L651" s="237"/>
      <c r="M651" s="233"/>
      <c r="N651" s="233"/>
      <c r="O651" s="233"/>
      <c r="P651" s="233"/>
      <c r="Q651" s="233"/>
      <c r="R651" s="233"/>
      <c r="S651" s="233"/>
      <c r="T651" s="237"/>
      <c r="U651" s="233"/>
      <c r="V651" s="238"/>
      <c r="W651" s="238"/>
      <c r="AK651" s="242"/>
      <c r="AM651" s="236"/>
    </row>
    <row r="652" ht="14.25" customHeight="1">
      <c r="B652" s="233"/>
      <c r="D652" s="234"/>
      <c r="H652" s="235"/>
      <c r="K652" s="236"/>
      <c r="L652" s="237"/>
      <c r="M652" s="233"/>
      <c r="N652" s="233"/>
      <c r="O652" s="233"/>
      <c r="P652" s="233"/>
      <c r="Q652" s="233"/>
      <c r="R652" s="233"/>
      <c r="S652" s="233"/>
      <c r="T652" s="237"/>
      <c r="U652" s="233"/>
      <c r="V652" s="238"/>
      <c r="W652" s="238"/>
      <c r="AK652" s="242"/>
      <c r="AM652" s="236"/>
    </row>
    <row r="653" ht="14.25" customHeight="1">
      <c r="B653" s="233"/>
      <c r="D653" s="234"/>
      <c r="H653" s="235"/>
      <c r="K653" s="236"/>
      <c r="L653" s="237"/>
      <c r="M653" s="233"/>
      <c r="N653" s="233"/>
      <c r="O653" s="233"/>
      <c r="P653" s="233"/>
      <c r="Q653" s="233"/>
      <c r="R653" s="233"/>
      <c r="S653" s="233"/>
      <c r="T653" s="237"/>
      <c r="U653" s="233"/>
      <c r="V653" s="238"/>
      <c r="W653" s="238"/>
      <c r="AK653" s="242"/>
      <c r="AM653" s="236"/>
    </row>
    <row r="654" ht="14.25" customHeight="1">
      <c r="B654" s="233"/>
      <c r="D654" s="234"/>
      <c r="H654" s="235"/>
      <c r="K654" s="236"/>
      <c r="L654" s="237"/>
      <c r="M654" s="233"/>
      <c r="N654" s="233"/>
      <c r="O654" s="233"/>
      <c r="P654" s="233"/>
      <c r="Q654" s="233"/>
      <c r="R654" s="233"/>
      <c r="S654" s="233"/>
      <c r="T654" s="237"/>
      <c r="U654" s="233"/>
      <c r="V654" s="238"/>
      <c r="W654" s="238"/>
      <c r="AK654" s="242"/>
      <c r="AM654" s="236"/>
    </row>
    <row r="655" ht="14.25" customHeight="1">
      <c r="B655" s="233"/>
      <c r="D655" s="234"/>
      <c r="H655" s="235"/>
      <c r="K655" s="236"/>
      <c r="L655" s="237"/>
      <c r="M655" s="233"/>
      <c r="N655" s="233"/>
      <c r="O655" s="233"/>
      <c r="P655" s="233"/>
      <c r="Q655" s="233"/>
      <c r="R655" s="233"/>
      <c r="S655" s="233"/>
      <c r="T655" s="237"/>
      <c r="U655" s="233"/>
      <c r="V655" s="238"/>
      <c r="W655" s="238"/>
      <c r="AK655" s="242"/>
      <c r="AM655" s="236"/>
    </row>
    <row r="656" ht="14.25" customHeight="1">
      <c r="B656" s="233"/>
      <c r="D656" s="234"/>
      <c r="H656" s="235"/>
      <c r="K656" s="236"/>
      <c r="L656" s="237"/>
      <c r="M656" s="233"/>
      <c r="N656" s="233"/>
      <c r="O656" s="233"/>
      <c r="P656" s="233"/>
      <c r="Q656" s="233"/>
      <c r="R656" s="233"/>
      <c r="S656" s="233"/>
      <c r="T656" s="237"/>
      <c r="U656" s="233"/>
      <c r="V656" s="238"/>
      <c r="W656" s="238"/>
      <c r="AK656" s="242"/>
      <c r="AM656" s="236"/>
    </row>
    <row r="657" ht="14.25" customHeight="1">
      <c r="B657" s="233"/>
      <c r="D657" s="234"/>
      <c r="H657" s="235"/>
      <c r="K657" s="236"/>
      <c r="L657" s="237"/>
      <c r="M657" s="233"/>
      <c r="N657" s="233"/>
      <c r="O657" s="233"/>
      <c r="P657" s="233"/>
      <c r="Q657" s="233"/>
      <c r="R657" s="233"/>
      <c r="S657" s="233"/>
      <c r="T657" s="237"/>
      <c r="U657" s="233"/>
      <c r="V657" s="238"/>
      <c r="W657" s="238"/>
      <c r="AK657" s="242"/>
      <c r="AM657" s="236"/>
    </row>
    <row r="658" ht="14.25" customHeight="1">
      <c r="B658" s="233"/>
      <c r="D658" s="234"/>
      <c r="H658" s="235"/>
      <c r="K658" s="236"/>
      <c r="L658" s="237"/>
      <c r="M658" s="233"/>
      <c r="N658" s="233"/>
      <c r="O658" s="233"/>
      <c r="P658" s="233"/>
      <c r="Q658" s="233"/>
      <c r="R658" s="233"/>
      <c r="S658" s="233"/>
      <c r="T658" s="237"/>
      <c r="U658" s="233"/>
      <c r="V658" s="238"/>
      <c r="W658" s="238"/>
      <c r="AK658" s="242"/>
      <c r="AM658" s="236"/>
    </row>
    <row r="659" ht="14.25" customHeight="1">
      <c r="B659" s="233"/>
      <c r="D659" s="234"/>
      <c r="H659" s="235"/>
      <c r="K659" s="236"/>
      <c r="L659" s="237"/>
      <c r="M659" s="233"/>
      <c r="N659" s="233"/>
      <c r="O659" s="233"/>
      <c r="P659" s="233"/>
      <c r="Q659" s="233"/>
      <c r="R659" s="233"/>
      <c r="S659" s="233"/>
      <c r="T659" s="237"/>
      <c r="U659" s="233"/>
      <c r="V659" s="238"/>
      <c r="W659" s="238"/>
      <c r="AK659" s="242"/>
      <c r="AM659" s="236"/>
    </row>
    <row r="660" ht="14.25" customHeight="1">
      <c r="B660" s="233"/>
      <c r="D660" s="234"/>
      <c r="H660" s="235"/>
      <c r="K660" s="236"/>
      <c r="L660" s="237"/>
      <c r="M660" s="233"/>
      <c r="N660" s="233"/>
      <c r="O660" s="233"/>
      <c r="P660" s="233"/>
      <c r="Q660" s="233"/>
      <c r="R660" s="233"/>
      <c r="S660" s="233"/>
      <c r="T660" s="237"/>
      <c r="U660" s="233"/>
      <c r="V660" s="238"/>
      <c r="W660" s="238"/>
      <c r="AK660" s="242"/>
      <c r="AM660" s="236"/>
    </row>
    <row r="661" ht="14.25" customHeight="1">
      <c r="B661" s="233"/>
      <c r="D661" s="234"/>
      <c r="H661" s="235"/>
      <c r="K661" s="236"/>
      <c r="L661" s="237"/>
      <c r="M661" s="233"/>
      <c r="N661" s="233"/>
      <c r="O661" s="233"/>
      <c r="P661" s="233"/>
      <c r="Q661" s="233"/>
      <c r="R661" s="233"/>
      <c r="S661" s="233"/>
      <c r="T661" s="237"/>
      <c r="U661" s="233"/>
      <c r="V661" s="238"/>
      <c r="W661" s="238"/>
      <c r="AK661" s="242"/>
      <c r="AM661" s="236"/>
    </row>
    <row r="662" ht="14.25" customHeight="1">
      <c r="B662" s="233"/>
      <c r="D662" s="234"/>
      <c r="H662" s="235"/>
      <c r="K662" s="236"/>
      <c r="L662" s="237"/>
      <c r="M662" s="233"/>
      <c r="N662" s="233"/>
      <c r="O662" s="233"/>
      <c r="P662" s="233"/>
      <c r="Q662" s="233"/>
      <c r="R662" s="233"/>
      <c r="S662" s="233"/>
      <c r="T662" s="237"/>
      <c r="U662" s="233"/>
      <c r="V662" s="238"/>
      <c r="W662" s="238"/>
      <c r="AK662" s="242"/>
      <c r="AM662" s="236"/>
    </row>
    <row r="663" ht="14.25" customHeight="1">
      <c r="B663" s="233"/>
      <c r="D663" s="234"/>
      <c r="H663" s="235"/>
      <c r="K663" s="236"/>
      <c r="L663" s="237"/>
      <c r="M663" s="233"/>
      <c r="N663" s="233"/>
      <c r="O663" s="233"/>
      <c r="P663" s="233"/>
      <c r="Q663" s="233"/>
      <c r="R663" s="233"/>
      <c r="S663" s="233"/>
      <c r="T663" s="237"/>
      <c r="U663" s="233"/>
      <c r="V663" s="238"/>
      <c r="W663" s="238"/>
      <c r="AK663" s="242"/>
      <c r="AM663" s="236"/>
    </row>
    <row r="664" ht="14.25" customHeight="1">
      <c r="B664" s="233"/>
      <c r="D664" s="234"/>
      <c r="H664" s="235"/>
      <c r="K664" s="236"/>
      <c r="L664" s="237"/>
      <c r="M664" s="233"/>
      <c r="N664" s="233"/>
      <c r="O664" s="233"/>
      <c r="P664" s="233"/>
      <c r="Q664" s="233"/>
      <c r="R664" s="233"/>
      <c r="S664" s="233"/>
      <c r="T664" s="237"/>
      <c r="U664" s="233"/>
      <c r="V664" s="238"/>
      <c r="W664" s="238"/>
      <c r="AK664" s="242"/>
      <c r="AM664" s="236"/>
    </row>
    <row r="665" ht="14.25" customHeight="1">
      <c r="B665" s="233"/>
      <c r="D665" s="234"/>
      <c r="H665" s="235"/>
      <c r="K665" s="236"/>
      <c r="L665" s="237"/>
      <c r="M665" s="233"/>
      <c r="N665" s="233"/>
      <c r="O665" s="233"/>
      <c r="P665" s="233"/>
      <c r="Q665" s="233"/>
      <c r="R665" s="233"/>
      <c r="S665" s="233"/>
      <c r="T665" s="237"/>
      <c r="U665" s="233"/>
      <c r="V665" s="238"/>
      <c r="W665" s="238"/>
      <c r="AK665" s="242"/>
      <c r="AM665" s="236"/>
    </row>
    <row r="666" ht="14.25" customHeight="1">
      <c r="B666" s="233"/>
      <c r="D666" s="234"/>
      <c r="H666" s="235"/>
      <c r="K666" s="236"/>
      <c r="L666" s="237"/>
      <c r="M666" s="233"/>
      <c r="N666" s="233"/>
      <c r="O666" s="233"/>
      <c r="P666" s="233"/>
      <c r="Q666" s="233"/>
      <c r="R666" s="233"/>
      <c r="S666" s="233"/>
      <c r="T666" s="237"/>
      <c r="U666" s="233"/>
      <c r="V666" s="238"/>
      <c r="W666" s="238"/>
      <c r="AK666" s="242"/>
      <c r="AM666" s="236"/>
    </row>
    <row r="667" ht="14.25" customHeight="1">
      <c r="B667" s="233"/>
      <c r="D667" s="234"/>
      <c r="H667" s="235"/>
      <c r="K667" s="236"/>
      <c r="L667" s="237"/>
      <c r="M667" s="233"/>
      <c r="N667" s="233"/>
      <c r="O667" s="233"/>
      <c r="P667" s="233"/>
      <c r="Q667" s="233"/>
      <c r="R667" s="233"/>
      <c r="S667" s="233"/>
      <c r="T667" s="237"/>
      <c r="U667" s="233"/>
      <c r="V667" s="238"/>
      <c r="W667" s="238"/>
      <c r="AK667" s="242"/>
      <c r="AM667" s="236"/>
    </row>
    <row r="668" ht="14.25" customHeight="1">
      <c r="B668" s="233"/>
      <c r="D668" s="234"/>
      <c r="H668" s="235"/>
      <c r="K668" s="236"/>
      <c r="L668" s="237"/>
      <c r="M668" s="233"/>
      <c r="N668" s="233"/>
      <c r="O668" s="233"/>
      <c r="P668" s="233"/>
      <c r="Q668" s="233"/>
      <c r="R668" s="233"/>
      <c r="S668" s="233"/>
      <c r="T668" s="237"/>
      <c r="U668" s="233"/>
      <c r="V668" s="238"/>
      <c r="W668" s="238"/>
      <c r="AK668" s="242"/>
      <c r="AM668" s="236"/>
    </row>
    <row r="669" ht="14.25" customHeight="1">
      <c r="B669" s="233"/>
      <c r="D669" s="234"/>
      <c r="H669" s="235"/>
      <c r="K669" s="236"/>
      <c r="L669" s="237"/>
      <c r="M669" s="233"/>
      <c r="N669" s="233"/>
      <c r="O669" s="233"/>
      <c r="P669" s="233"/>
      <c r="Q669" s="233"/>
      <c r="R669" s="233"/>
      <c r="S669" s="233"/>
      <c r="T669" s="237"/>
      <c r="U669" s="233"/>
      <c r="V669" s="238"/>
      <c r="W669" s="238"/>
      <c r="AK669" s="242"/>
      <c r="AM669" s="236"/>
    </row>
    <row r="670" ht="14.25" customHeight="1">
      <c r="B670" s="233"/>
      <c r="D670" s="234"/>
      <c r="H670" s="235"/>
      <c r="K670" s="236"/>
      <c r="L670" s="237"/>
      <c r="M670" s="233"/>
      <c r="N670" s="233"/>
      <c r="O670" s="233"/>
      <c r="P670" s="233"/>
      <c r="Q670" s="233"/>
      <c r="R670" s="233"/>
      <c r="S670" s="233"/>
      <c r="T670" s="237"/>
      <c r="U670" s="233"/>
      <c r="V670" s="238"/>
      <c r="W670" s="238"/>
      <c r="AK670" s="242"/>
      <c r="AM670" s="236"/>
    </row>
    <row r="671" ht="14.25" customHeight="1">
      <c r="B671" s="233"/>
      <c r="D671" s="234"/>
      <c r="H671" s="235"/>
      <c r="K671" s="236"/>
      <c r="L671" s="237"/>
      <c r="M671" s="233"/>
      <c r="N671" s="233"/>
      <c r="O671" s="233"/>
      <c r="P671" s="233"/>
      <c r="Q671" s="233"/>
      <c r="R671" s="233"/>
      <c r="S671" s="233"/>
      <c r="T671" s="237"/>
      <c r="U671" s="233"/>
      <c r="V671" s="238"/>
      <c r="W671" s="238"/>
      <c r="AK671" s="242"/>
      <c r="AM671" s="236"/>
    </row>
    <row r="672" ht="14.25" customHeight="1">
      <c r="B672" s="233"/>
      <c r="D672" s="234"/>
      <c r="H672" s="235"/>
      <c r="K672" s="236"/>
      <c r="L672" s="237"/>
      <c r="M672" s="233"/>
      <c r="N672" s="233"/>
      <c r="O672" s="233"/>
      <c r="P672" s="233"/>
      <c r="Q672" s="233"/>
      <c r="R672" s="233"/>
      <c r="S672" s="233"/>
      <c r="T672" s="237"/>
      <c r="U672" s="233"/>
      <c r="V672" s="238"/>
      <c r="W672" s="238"/>
      <c r="AK672" s="242"/>
      <c r="AM672" s="236"/>
    </row>
    <row r="673" ht="14.25" customHeight="1">
      <c r="B673" s="233"/>
      <c r="D673" s="234"/>
      <c r="H673" s="235"/>
      <c r="K673" s="236"/>
      <c r="L673" s="237"/>
      <c r="M673" s="233"/>
      <c r="N673" s="233"/>
      <c r="O673" s="233"/>
      <c r="P673" s="233"/>
      <c r="Q673" s="233"/>
      <c r="R673" s="233"/>
      <c r="S673" s="233"/>
      <c r="T673" s="237"/>
      <c r="U673" s="233"/>
      <c r="V673" s="238"/>
      <c r="W673" s="238"/>
      <c r="AK673" s="242"/>
      <c r="AM673" s="236"/>
    </row>
    <row r="674" ht="14.25" customHeight="1">
      <c r="B674" s="233"/>
      <c r="D674" s="234"/>
      <c r="H674" s="235"/>
      <c r="K674" s="236"/>
      <c r="L674" s="237"/>
      <c r="M674" s="233"/>
      <c r="N674" s="233"/>
      <c r="O674" s="233"/>
      <c r="P674" s="233"/>
      <c r="Q674" s="233"/>
      <c r="R674" s="233"/>
      <c r="S674" s="233"/>
      <c r="T674" s="237"/>
      <c r="U674" s="233"/>
      <c r="V674" s="238"/>
      <c r="W674" s="238"/>
      <c r="AK674" s="242"/>
      <c r="AM674" s="236"/>
    </row>
    <row r="675" ht="14.25" customHeight="1">
      <c r="B675" s="233"/>
      <c r="D675" s="234"/>
      <c r="H675" s="235"/>
      <c r="K675" s="236"/>
      <c r="L675" s="237"/>
      <c r="M675" s="233"/>
      <c r="N675" s="233"/>
      <c r="O675" s="233"/>
      <c r="P675" s="233"/>
      <c r="Q675" s="233"/>
      <c r="R675" s="233"/>
      <c r="S675" s="233"/>
      <c r="T675" s="237"/>
      <c r="U675" s="233"/>
      <c r="V675" s="238"/>
      <c r="W675" s="238"/>
      <c r="AK675" s="242"/>
      <c r="AM675" s="236"/>
    </row>
    <row r="676" ht="14.25" customHeight="1">
      <c r="B676" s="233"/>
      <c r="D676" s="234"/>
      <c r="H676" s="235"/>
      <c r="K676" s="236"/>
      <c r="L676" s="237"/>
      <c r="M676" s="233"/>
      <c r="N676" s="233"/>
      <c r="O676" s="233"/>
      <c r="P676" s="233"/>
      <c r="Q676" s="233"/>
      <c r="R676" s="233"/>
      <c r="S676" s="233"/>
      <c r="T676" s="237"/>
      <c r="U676" s="233"/>
      <c r="V676" s="238"/>
      <c r="W676" s="238"/>
      <c r="AK676" s="242"/>
      <c r="AM676" s="236"/>
    </row>
    <row r="677" ht="14.25" customHeight="1">
      <c r="B677" s="233"/>
      <c r="D677" s="234"/>
      <c r="H677" s="235"/>
      <c r="K677" s="236"/>
      <c r="L677" s="237"/>
      <c r="M677" s="233"/>
      <c r="N677" s="233"/>
      <c r="O677" s="233"/>
      <c r="P677" s="233"/>
      <c r="Q677" s="233"/>
      <c r="R677" s="233"/>
      <c r="S677" s="233"/>
      <c r="T677" s="237"/>
      <c r="U677" s="233"/>
      <c r="V677" s="238"/>
      <c r="W677" s="238"/>
      <c r="AK677" s="242"/>
      <c r="AM677" s="236"/>
    </row>
    <row r="678" ht="14.25" customHeight="1">
      <c r="B678" s="233"/>
      <c r="D678" s="234"/>
      <c r="H678" s="235"/>
      <c r="K678" s="236"/>
      <c r="L678" s="237"/>
      <c r="M678" s="233"/>
      <c r="N678" s="233"/>
      <c r="O678" s="233"/>
      <c r="P678" s="233"/>
      <c r="Q678" s="233"/>
      <c r="R678" s="233"/>
      <c r="S678" s="233"/>
      <c r="T678" s="237"/>
      <c r="U678" s="233"/>
      <c r="V678" s="238"/>
      <c r="W678" s="238"/>
      <c r="AK678" s="242"/>
      <c r="AM678" s="236"/>
    </row>
    <row r="679" ht="14.25" customHeight="1">
      <c r="B679" s="233"/>
      <c r="D679" s="234"/>
      <c r="H679" s="235"/>
      <c r="K679" s="236"/>
      <c r="L679" s="237"/>
      <c r="M679" s="233"/>
      <c r="N679" s="233"/>
      <c r="O679" s="233"/>
      <c r="P679" s="233"/>
      <c r="Q679" s="233"/>
      <c r="R679" s="233"/>
      <c r="S679" s="233"/>
      <c r="T679" s="237"/>
      <c r="U679" s="233"/>
      <c r="V679" s="238"/>
      <c r="W679" s="238"/>
      <c r="AK679" s="242"/>
      <c r="AM679" s="236"/>
    </row>
    <row r="680" ht="14.25" customHeight="1">
      <c r="B680" s="233"/>
      <c r="D680" s="234"/>
      <c r="H680" s="235"/>
      <c r="K680" s="236"/>
      <c r="L680" s="237"/>
      <c r="M680" s="233"/>
      <c r="N680" s="233"/>
      <c r="O680" s="233"/>
      <c r="P680" s="233"/>
      <c r="Q680" s="233"/>
      <c r="R680" s="233"/>
      <c r="S680" s="233"/>
      <c r="T680" s="237"/>
      <c r="U680" s="233"/>
      <c r="V680" s="238"/>
      <c r="W680" s="238"/>
      <c r="AK680" s="242"/>
      <c r="AM680" s="236"/>
    </row>
    <row r="681" ht="14.25" customHeight="1">
      <c r="B681" s="233"/>
      <c r="D681" s="234"/>
      <c r="H681" s="235"/>
      <c r="K681" s="236"/>
      <c r="L681" s="237"/>
      <c r="M681" s="233"/>
      <c r="N681" s="233"/>
      <c r="O681" s="233"/>
      <c r="P681" s="233"/>
      <c r="Q681" s="233"/>
      <c r="R681" s="233"/>
      <c r="S681" s="233"/>
      <c r="T681" s="237"/>
      <c r="U681" s="233"/>
      <c r="V681" s="238"/>
      <c r="W681" s="238"/>
      <c r="AK681" s="242"/>
      <c r="AM681" s="236"/>
    </row>
    <row r="682" ht="14.25" customHeight="1">
      <c r="B682" s="233"/>
      <c r="D682" s="234"/>
      <c r="H682" s="235"/>
      <c r="K682" s="236"/>
      <c r="L682" s="237"/>
      <c r="M682" s="233"/>
      <c r="N682" s="233"/>
      <c r="O682" s="233"/>
      <c r="P682" s="233"/>
      <c r="Q682" s="233"/>
      <c r="R682" s="233"/>
      <c r="S682" s="233"/>
      <c r="T682" s="237"/>
      <c r="U682" s="233"/>
      <c r="V682" s="238"/>
      <c r="W682" s="238"/>
      <c r="AK682" s="242"/>
      <c r="AM682" s="236"/>
    </row>
    <row r="683" ht="14.25" customHeight="1">
      <c r="B683" s="233"/>
      <c r="D683" s="234"/>
      <c r="H683" s="235"/>
      <c r="K683" s="236"/>
      <c r="L683" s="237"/>
      <c r="M683" s="233"/>
      <c r="N683" s="233"/>
      <c r="O683" s="233"/>
      <c r="P683" s="233"/>
      <c r="Q683" s="233"/>
      <c r="R683" s="233"/>
      <c r="S683" s="233"/>
      <c r="T683" s="237"/>
      <c r="U683" s="233"/>
      <c r="V683" s="238"/>
      <c r="W683" s="238"/>
      <c r="AK683" s="242"/>
      <c r="AM683" s="236"/>
    </row>
    <row r="684" ht="14.25" customHeight="1">
      <c r="B684" s="233"/>
      <c r="D684" s="234"/>
      <c r="H684" s="235"/>
      <c r="K684" s="236"/>
      <c r="L684" s="237"/>
      <c r="M684" s="233"/>
      <c r="N684" s="233"/>
      <c r="O684" s="233"/>
      <c r="P684" s="233"/>
      <c r="Q684" s="233"/>
      <c r="R684" s="233"/>
      <c r="S684" s="233"/>
      <c r="T684" s="237"/>
      <c r="U684" s="233"/>
      <c r="V684" s="238"/>
      <c r="W684" s="238"/>
      <c r="AK684" s="242"/>
      <c r="AM684" s="236"/>
    </row>
    <row r="685" ht="14.25" customHeight="1">
      <c r="B685" s="233"/>
      <c r="D685" s="234"/>
      <c r="H685" s="235"/>
      <c r="K685" s="236"/>
      <c r="L685" s="237"/>
      <c r="M685" s="233"/>
      <c r="N685" s="233"/>
      <c r="O685" s="233"/>
      <c r="P685" s="233"/>
      <c r="Q685" s="233"/>
      <c r="R685" s="233"/>
      <c r="S685" s="233"/>
      <c r="T685" s="237"/>
      <c r="U685" s="233"/>
      <c r="V685" s="238"/>
      <c r="W685" s="238"/>
      <c r="AK685" s="242"/>
      <c r="AM685" s="236"/>
    </row>
    <row r="686" ht="14.25" customHeight="1">
      <c r="B686" s="233"/>
      <c r="D686" s="234"/>
      <c r="H686" s="235"/>
      <c r="K686" s="236"/>
      <c r="L686" s="237"/>
      <c r="M686" s="233"/>
      <c r="N686" s="233"/>
      <c r="O686" s="233"/>
      <c r="P686" s="233"/>
      <c r="Q686" s="233"/>
      <c r="R686" s="233"/>
      <c r="S686" s="233"/>
      <c r="T686" s="237"/>
      <c r="U686" s="233"/>
      <c r="V686" s="238"/>
      <c r="W686" s="238"/>
      <c r="AK686" s="242"/>
      <c r="AM686" s="236"/>
    </row>
    <row r="687" ht="14.25" customHeight="1">
      <c r="B687" s="233"/>
      <c r="D687" s="234"/>
      <c r="H687" s="235"/>
      <c r="K687" s="236"/>
      <c r="L687" s="237"/>
      <c r="M687" s="233"/>
      <c r="N687" s="233"/>
      <c r="O687" s="233"/>
      <c r="P687" s="233"/>
      <c r="Q687" s="233"/>
      <c r="R687" s="233"/>
      <c r="S687" s="233"/>
      <c r="T687" s="237"/>
      <c r="U687" s="233"/>
      <c r="V687" s="238"/>
      <c r="W687" s="238"/>
      <c r="AK687" s="242"/>
      <c r="AM687" s="236"/>
    </row>
    <row r="688" ht="14.25" customHeight="1">
      <c r="B688" s="233"/>
      <c r="D688" s="234"/>
      <c r="H688" s="235"/>
      <c r="K688" s="236"/>
      <c r="L688" s="237"/>
      <c r="M688" s="233"/>
      <c r="N688" s="233"/>
      <c r="O688" s="233"/>
      <c r="P688" s="233"/>
      <c r="Q688" s="233"/>
      <c r="R688" s="233"/>
      <c r="S688" s="233"/>
      <c r="T688" s="237"/>
      <c r="U688" s="233"/>
      <c r="V688" s="238"/>
      <c r="W688" s="238"/>
      <c r="AK688" s="242"/>
      <c r="AM688" s="236"/>
    </row>
    <row r="689" ht="14.25" customHeight="1">
      <c r="B689" s="233"/>
      <c r="D689" s="234"/>
      <c r="H689" s="235"/>
      <c r="K689" s="236"/>
      <c r="L689" s="237"/>
      <c r="M689" s="233"/>
      <c r="N689" s="233"/>
      <c r="O689" s="233"/>
      <c r="P689" s="233"/>
      <c r="Q689" s="233"/>
      <c r="R689" s="233"/>
      <c r="S689" s="233"/>
      <c r="T689" s="237"/>
      <c r="U689" s="233"/>
      <c r="V689" s="238"/>
      <c r="W689" s="238"/>
      <c r="AK689" s="242"/>
      <c r="AM689" s="236"/>
    </row>
    <row r="690" ht="14.25" customHeight="1">
      <c r="B690" s="233"/>
      <c r="D690" s="234"/>
      <c r="H690" s="235"/>
      <c r="K690" s="236"/>
      <c r="L690" s="237"/>
      <c r="M690" s="233"/>
      <c r="N690" s="233"/>
      <c r="O690" s="233"/>
      <c r="P690" s="233"/>
      <c r="Q690" s="233"/>
      <c r="R690" s="233"/>
      <c r="S690" s="233"/>
      <c r="T690" s="237"/>
      <c r="U690" s="233"/>
      <c r="V690" s="238"/>
      <c r="W690" s="238"/>
      <c r="AK690" s="242"/>
      <c r="AM690" s="236"/>
    </row>
    <row r="691" ht="14.25" customHeight="1">
      <c r="B691" s="233"/>
      <c r="D691" s="234"/>
      <c r="H691" s="235"/>
      <c r="K691" s="236"/>
      <c r="L691" s="237"/>
      <c r="M691" s="233"/>
      <c r="N691" s="233"/>
      <c r="O691" s="233"/>
      <c r="P691" s="233"/>
      <c r="Q691" s="233"/>
      <c r="R691" s="233"/>
      <c r="S691" s="233"/>
      <c r="T691" s="237"/>
      <c r="U691" s="233"/>
      <c r="V691" s="238"/>
      <c r="W691" s="238"/>
      <c r="AK691" s="242"/>
      <c r="AM691" s="236"/>
    </row>
    <row r="692" ht="14.25" customHeight="1">
      <c r="B692" s="233"/>
      <c r="D692" s="234"/>
      <c r="H692" s="235"/>
      <c r="K692" s="236"/>
      <c r="L692" s="237"/>
      <c r="M692" s="233"/>
      <c r="N692" s="233"/>
      <c r="O692" s="233"/>
      <c r="P692" s="233"/>
      <c r="Q692" s="233"/>
      <c r="R692" s="233"/>
      <c r="S692" s="233"/>
      <c r="T692" s="237"/>
      <c r="U692" s="233"/>
      <c r="V692" s="238"/>
      <c r="W692" s="238"/>
      <c r="AK692" s="242"/>
      <c r="AM692" s="236"/>
    </row>
    <row r="693" ht="14.25" customHeight="1">
      <c r="B693" s="233"/>
      <c r="D693" s="234"/>
      <c r="H693" s="235"/>
      <c r="K693" s="236"/>
      <c r="L693" s="237"/>
      <c r="M693" s="233"/>
      <c r="N693" s="233"/>
      <c r="O693" s="233"/>
      <c r="P693" s="233"/>
      <c r="Q693" s="233"/>
      <c r="R693" s="233"/>
      <c r="S693" s="233"/>
      <c r="T693" s="237"/>
      <c r="U693" s="233"/>
      <c r="V693" s="238"/>
      <c r="W693" s="238"/>
      <c r="AK693" s="242"/>
      <c r="AM693" s="236"/>
    </row>
    <row r="694" ht="14.25" customHeight="1">
      <c r="B694" s="233"/>
      <c r="D694" s="234"/>
      <c r="H694" s="235"/>
      <c r="K694" s="236"/>
      <c r="L694" s="237"/>
      <c r="M694" s="233"/>
      <c r="N694" s="233"/>
      <c r="O694" s="233"/>
      <c r="P694" s="233"/>
      <c r="Q694" s="233"/>
      <c r="R694" s="233"/>
      <c r="S694" s="233"/>
      <c r="T694" s="237"/>
      <c r="U694" s="233"/>
      <c r="V694" s="238"/>
      <c r="W694" s="238"/>
      <c r="AK694" s="242"/>
      <c r="AM694" s="236"/>
    </row>
    <row r="695" ht="14.25" customHeight="1">
      <c r="B695" s="233"/>
      <c r="D695" s="234"/>
      <c r="H695" s="235"/>
      <c r="K695" s="236"/>
      <c r="L695" s="237"/>
      <c r="M695" s="233"/>
      <c r="N695" s="233"/>
      <c r="O695" s="233"/>
      <c r="P695" s="233"/>
      <c r="Q695" s="233"/>
      <c r="R695" s="233"/>
      <c r="S695" s="233"/>
      <c r="T695" s="237"/>
      <c r="U695" s="233"/>
      <c r="V695" s="238"/>
      <c r="W695" s="238"/>
      <c r="AK695" s="242"/>
      <c r="AM695" s="236"/>
    </row>
    <row r="696" ht="14.25" customHeight="1">
      <c r="B696" s="233"/>
      <c r="D696" s="234"/>
      <c r="H696" s="235"/>
      <c r="K696" s="236"/>
      <c r="L696" s="237"/>
      <c r="M696" s="233"/>
      <c r="N696" s="233"/>
      <c r="O696" s="233"/>
      <c r="P696" s="233"/>
      <c r="Q696" s="233"/>
      <c r="R696" s="233"/>
      <c r="S696" s="233"/>
      <c r="T696" s="237"/>
      <c r="U696" s="233"/>
      <c r="V696" s="238"/>
      <c r="W696" s="238"/>
      <c r="AK696" s="242"/>
      <c r="AM696" s="236"/>
    </row>
    <row r="697" ht="14.25" customHeight="1">
      <c r="B697" s="233"/>
      <c r="D697" s="234"/>
      <c r="H697" s="235"/>
      <c r="K697" s="236"/>
      <c r="L697" s="237"/>
      <c r="M697" s="233"/>
      <c r="N697" s="233"/>
      <c r="O697" s="233"/>
      <c r="P697" s="233"/>
      <c r="Q697" s="233"/>
      <c r="R697" s="233"/>
      <c r="S697" s="233"/>
      <c r="T697" s="237"/>
      <c r="U697" s="233"/>
      <c r="V697" s="238"/>
      <c r="W697" s="238"/>
      <c r="AK697" s="242"/>
      <c r="AM697" s="236"/>
    </row>
    <row r="698" ht="14.25" customHeight="1">
      <c r="B698" s="233"/>
      <c r="D698" s="234"/>
      <c r="H698" s="235"/>
      <c r="K698" s="236"/>
      <c r="L698" s="237"/>
      <c r="M698" s="233"/>
      <c r="N698" s="233"/>
      <c r="O698" s="233"/>
      <c r="P698" s="233"/>
      <c r="Q698" s="233"/>
      <c r="R698" s="233"/>
      <c r="S698" s="233"/>
      <c r="T698" s="237"/>
      <c r="U698" s="233"/>
      <c r="V698" s="238"/>
      <c r="W698" s="238"/>
      <c r="AK698" s="242"/>
      <c r="AM698" s="236"/>
    </row>
    <row r="699" ht="14.25" customHeight="1">
      <c r="B699" s="233"/>
      <c r="D699" s="234"/>
      <c r="H699" s="235"/>
      <c r="K699" s="236"/>
      <c r="L699" s="237"/>
      <c r="M699" s="233"/>
      <c r="N699" s="233"/>
      <c r="O699" s="233"/>
      <c r="P699" s="233"/>
      <c r="Q699" s="233"/>
      <c r="R699" s="233"/>
      <c r="S699" s="233"/>
      <c r="T699" s="237"/>
      <c r="U699" s="233"/>
      <c r="V699" s="238"/>
      <c r="W699" s="238"/>
      <c r="AK699" s="242"/>
      <c r="AM699" s="236"/>
    </row>
    <row r="700" ht="14.25" customHeight="1">
      <c r="B700" s="233"/>
      <c r="D700" s="234"/>
      <c r="H700" s="235"/>
      <c r="K700" s="236"/>
      <c r="L700" s="237"/>
      <c r="M700" s="233"/>
      <c r="N700" s="233"/>
      <c r="O700" s="233"/>
      <c r="P700" s="233"/>
      <c r="Q700" s="233"/>
      <c r="R700" s="233"/>
      <c r="S700" s="233"/>
      <c r="T700" s="237"/>
      <c r="U700" s="233"/>
      <c r="V700" s="238"/>
      <c r="W700" s="238"/>
      <c r="AK700" s="242"/>
      <c r="AM700" s="236"/>
    </row>
    <row r="701" ht="14.25" customHeight="1">
      <c r="B701" s="233"/>
      <c r="D701" s="234"/>
      <c r="H701" s="235"/>
      <c r="K701" s="236"/>
      <c r="L701" s="237"/>
      <c r="M701" s="233"/>
      <c r="N701" s="233"/>
      <c r="O701" s="233"/>
      <c r="P701" s="233"/>
      <c r="Q701" s="233"/>
      <c r="R701" s="233"/>
      <c r="S701" s="233"/>
      <c r="T701" s="237"/>
      <c r="U701" s="233"/>
      <c r="V701" s="238"/>
      <c r="W701" s="238"/>
      <c r="AK701" s="242"/>
      <c r="AM701" s="236"/>
    </row>
    <row r="702" ht="14.25" customHeight="1">
      <c r="B702" s="233"/>
      <c r="D702" s="234"/>
      <c r="H702" s="235"/>
      <c r="K702" s="236"/>
      <c r="L702" s="237"/>
      <c r="M702" s="233"/>
      <c r="N702" s="233"/>
      <c r="O702" s="233"/>
      <c r="P702" s="233"/>
      <c r="Q702" s="233"/>
      <c r="R702" s="233"/>
      <c r="S702" s="233"/>
      <c r="T702" s="237"/>
      <c r="U702" s="233"/>
      <c r="V702" s="238"/>
      <c r="W702" s="238"/>
      <c r="AK702" s="242"/>
      <c r="AM702" s="236"/>
    </row>
    <row r="703" ht="14.25" customHeight="1">
      <c r="B703" s="233"/>
      <c r="D703" s="234"/>
      <c r="H703" s="235"/>
      <c r="K703" s="236"/>
      <c r="L703" s="237"/>
      <c r="M703" s="233"/>
      <c r="N703" s="233"/>
      <c r="O703" s="233"/>
      <c r="P703" s="233"/>
      <c r="Q703" s="233"/>
      <c r="R703" s="233"/>
      <c r="S703" s="233"/>
      <c r="T703" s="237"/>
      <c r="U703" s="233"/>
      <c r="V703" s="238"/>
      <c r="W703" s="238"/>
      <c r="AK703" s="242"/>
      <c r="AM703" s="236"/>
    </row>
    <row r="704" ht="14.25" customHeight="1">
      <c r="B704" s="233"/>
      <c r="D704" s="234"/>
      <c r="H704" s="235"/>
      <c r="K704" s="236"/>
      <c r="L704" s="237"/>
      <c r="M704" s="233"/>
      <c r="N704" s="233"/>
      <c r="O704" s="233"/>
      <c r="P704" s="233"/>
      <c r="Q704" s="233"/>
      <c r="R704" s="233"/>
      <c r="S704" s="233"/>
      <c r="T704" s="237"/>
      <c r="U704" s="233"/>
      <c r="V704" s="238"/>
      <c r="W704" s="238"/>
      <c r="AK704" s="242"/>
      <c r="AM704" s="236"/>
    </row>
    <row r="705" ht="14.25" customHeight="1">
      <c r="B705" s="233"/>
      <c r="D705" s="234"/>
      <c r="H705" s="235"/>
      <c r="K705" s="236"/>
      <c r="L705" s="237"/>
      <c r="M705" s="233"/>
      <c r="N705" s="233"/>
      <c r="O705" s="233"/>
      <c r="P705" s="233"/>
      <c r="Q705" s="233"/>
      <c r="R705" s="233"/>
      <c r="S705" s="233"/>
      <c r="T705" s="237"/>
      <c r="U705" s="233"/>
      <c r="V705" s="238"/>
      <c r="W705" s="238"/>
      <c r="AK705" s="242"/>
      <c r="AM705" s="236"/>
    </row>
    <row r="706" ht="14.25" customHeight="1">
      <c r="B706" s="233"/>
      <c r="D706" s="234"/>
      <c r="H706" s="235"/>
      <c r="K706" s="236"/>
      <c r="L706" s="237"/>
      <c r="M706" s="233"/>
      <c r="N706" s="233"/>
      <c r="O706" s="233"/>
      <c r="P706" s="233"/>
      <c r="Q706" s="233"/>
      <c r="R706" s="233"/>
      <c r="S706" s="233"/>
      <c r="T706" s="237"/>
      <c r="U706" s="233"/>
      <c r="V706" s="238"/>
      <c r="W706" s="238"/>
      <c r="AK706" s="242"/>
      <c r="AM706" s="236"/>
    </row>
    <row r="707" ht="14.25" customHeight="1">
      <c r="B707" s="233"/>
      <c r="D707" s="234"/>
      <c r="H707" s="235"/>
      <c r="K707" s="236"/>
      <c r="L707" s="237"/>
      <c r="M707" s="233"/>
      <c r="N707" s="233"/>
      <c r="O707" s="233"/>
      <c r="P707" s="233"/>
      <c r="Q707" s="233"/>
      <c r="R707" s="233"/>
      <c r="S707" s="233"/>
      <c r="T707" s="237"/>
      <c r="U707" s="233"/>
      <c r="V707" s="238"/>
      <c r="W707" s="238"/>
      <c r="AK707" s="242"/>
      <c r="AM707" s="236"/>
    </row>
    <row r="708" ht="14.25" customHeight="1">
      <c r="B708" s="233"/>
      <c r="D708" s="234"/>
      <c r="H708" s="235"/>
      <c r="K708" s="236"/>
      <c r="L708" s="237"/>
      <c r="M708" s="233"/>
      <c r="N708" s="233"/>
      <c r="O708" s="233"/>
      <c r="P708" s="233"/>
      <c r="Q708" s="233"/>
      <c r="R708" s="233"/>
      <c r="S708" s="233"/>
      <c r="T708" s="237"/>
      <c r="U708" s="233"/>
      <c r="V708" s="238"/>
      <c r="W708" s="238"/>
      <c r="AK708" s="242"/>
      <c r="AM708" s="236"/>
    </row>
    <row r="709" ht="14.25" customHeight="1">
      <c r="B709" s="233"/>
      <c r="D709" s="234"/>
      <c r="H709" s="235"/>
      <c r="K709" s="236"/>
      <c r="L709" s="237"/>
      <c r="M709" s="233"/>
      <c r="N709" s="233"/>
      <c r="O709" s="233"/>
      <c r="P709" s="233"/>
      <c r="Q709" s="233"/>
      <c r="R709" s="233"/>
      <c r="S709" s="233"/>
      <c r="T709" s="237"/>
      <c r="U709" s="233"/>
      <c r="V709" s="238"/>
      <c r="W709" s="238"/>
      <c r="AK709" s="242"/>
      <c r="AM709" s="236"/>
    </row>
    <row r="710" ht="14.25" customHeight="1">
      <c r="B710" s="233"/>
      <c r="D710" s="234"/>
      <c r="H710" s="235"/>
      <c r="K710" s="236"/>
      <c r="L710" s="237"/>
      <c r="M710" s="233"/>
      <c r="N710" s="233"/>
      <c r="O710" s="233"/>
      <c r="P710" s="233"/>
      <c r="Q710" s="233"/>
      <c r="R710" s="233"/>
      <c r="S710" s="233"/>
      <c r="T710" s="237"/>
      <c r="U710" s="233"/>
      <c r="V710" s="238"/>
      <c r="W710" s="238"/>
      <c r="AK710" s="242"/>
      <c r="AM710" s="236"/>
    </row>
    <row r="711" ht="14.25" customHeight="1">
      <c r="B711" s="233"/>
      <c r="D711" s="234"/>
      <c r="H711" s="235"/>
      <c r="K711" s="236"/>
      <c r="L711" s="237"/>
      <c r="M711" s="233"/>
      <c r="N711" s="233"/>
      <c r="O711" s="233"/>
      <c r="P711" s="233"/>
      <c r="Q711" s="233"/>
      <c r="R711" s="233"/>
      <c r="S711" s="233"/>
      <c r="T711" s="237"/>
      <c r="U711" s="233"/>
      <c r="V711" s="238"/>
      <c r="W711" s="238"/>
      <c r="AK711" s="242"/>
      <c r="AM711" s="236"/>
    </row>
    <row r="712" ht="14.25" customHeight="1">
      <c r="B712" s="233"/>
      <c r="D712" s="234"/>
      <c r="H712" s="235"/>
      <c r="K712" s="236"/>
      <c r="L712" s="237"/>
      <c r="M712" s="233"/>
      <c r="N712" s="233"/>
      <c r="O712" s="233"/>
      <c r="P712" s="233"/>
      <c r="Q712" s="233"/>
      <c r="R712" s="233"/>
      <c r="S712" s="233"/>
      <c r="T712" s="237"/>
      <c r="U712" s="233"/>
      <c r="V712" s="238"/>
      <c r="W712" s="238"/>
      <c r="AK712" s="242"/>
      <c r="AM712" s="236"/>
    </row>
    <row r="713" ht="14.25" customHeight="1">
      <c r="B713" s="233"/>
      <c r="D713" s="234"/>
      <c r="H713" s="235"/>
      <c r="K713" s="236"/>
      <c r="L713" s="237"/>
      <c r="M713" s="233"/>
      <c r="N713" s="233"/>
      <c r="O713" s="233"/>
      <c r="P713" s="233"/>
      <c r="Q713" s="233"/>
      <c r="R713" s="233"/>
      <c r="S713" s="233"/>
      <c r="T713" s="237"/>
      <c r="U713" s="233"/>
      <c r="V713" s="238"/>
      <c r="W713" s="238"/>
      <c r="AK713" s="242"/>
      <c r="AM713" s="236"/>
    </row>
    <row r="714" ht="14.25" customHeight="1">
      <c r="B714" s="233"/>
      <c r="D714" s="234"/>
      <c r="H714" s="235"/>
      <c r="K714" s="236"/>
      <c r="L714" s="237"/>
      <c r="M714" s="233"/>
      <c r="N714" s="233"/>
      <c r="O714" s="233"/>
      <c r="P714" s="233"/>
      <c r="Q714" s="233"/>
      <c r="R714" s="233"/>
      <c r="S714" s="233"/>
      <c r="T714" s="237"/>
      <c r="U714" s="233"/>
      <c r="V714" s="238"/>
      <c r="W714" s="238"/>
      <c r="AK714" s="242"/>
      <c r="AM714" s="236"/>
    </row>
    <row r="715" ht="14.25" customHeight="1">
      <c r="B715" s="233"/>
      <c r="D715" s="234"/>
      <c r="H715" s="235"/>
      <c r="K715" s="236"/>
      <c r="L715" s="237"/>
      <c r="M715" s="233"/>
      <c r="N715" s="233"/>
      <c r="O715" s="233"/>
      <c r="P715" s="233"/>
      <c r="Q715" s="233"/>
      <c r="R715" s="233"/>
      <c r="S715" s="233"/>
      <c r="T715" s="237"/>
      <c r="U715" s="233"/>
      <c r="V715" s="238"/>
      <c r="W715" s="238"/>
      <c r="AK715" s="242"/>
      <c r="AM715" s="236"/>
    </row>
    <row r="716" ht="14.25" customHeight="1">
      <c r="B716" s="233"/>
      <c r="D716" s="234"/>
      <c r="H716" s="235"/>
      <c r="K716" s="236"/>
      <c r="L716" s="237"/>
      <c r="M716" s="233"/>
      <c r="N716" s="233"/>
      <c r="O716" s="233"/>
      <c r="P716" s="233"/>
      <c r="Q716" s="233"/>
      <c r="R716" s="233"/>
      <c r="S716" s="233"/>
      <c r="T716" s="237"/>
      <c r="U716" s="233"/>
      <c r="V716" s="238"/>
      <c r="W716" s="238"/>
      <c r="AK716" s="242"/>
      <c r="AM716" s="236"/>
    </row>
    <row r="717" ht="14.25" customHeight="1">
      <c r="B717" s="233"/>
      <c r="D717" s="234"/>
      <c r="H717" s="235"/>
      <c r="K717" s="236"/>
      <c r="L717" s="237"/>
      <c r="M717" s="233"/>
      <c r="N717" s="233"/>
      <c r="O717" s="233"/>
      <c r="P717" s="233"/>
      <c r="Q717" s="233"/>
      <c r="R717" s="233"/>
      <c r="S717" s="233"/>
      <c r="T717" s="237"/>
      <c r="U717" s="233"/>
      <c r="V717" s="238"/>
      <c r="W717" s="238"/>
      <c r="AK717" s="242"/>
      <c r="AM717" s="236"/>
    </row>
    <row r="718" ht="14.25" customHeight="1">
      <c r="B718" s="233"/>
      <c r="D718" s="234"/>
      <c r="H718" s="235"/>
      <c r="K718" s="236"/>
      <c r="L718" s="237"/>
      <c r="M718" s="233"/>
      <c r="N718" s="233"/>
      <c r="O718" s="233"/>
      <c r="P718" s="233"/>
      <c r="Q718" s="233"/>
      <c r="R718" s="233"/>
      <c r="S718" s="233"/>
      <c r="T718" s="237"/>
      <c r="U718" s="233"/>
      <c r="V718" s="238"/>
      <c r="W718" s="238"/>
      <c r="AK718" s="242"/>
      <c r="AM718" s="236"/>
    </row>
    <row r="719" ht="14.25" customHeight="1">
      <c r="B719" s="233"/>
      <c r="D719" s="234"/>
      <c r="H719" s="235"/>
      <c r="K719" s="236"/>
      <c r="L719" s="237"/>
      <c r="M719" s="233"/>
      <c r="N719" s="233"/>
      <c r="O719" s="233"/>
      <c r="P719" s="233"/>
      <c r="Q719" s="233"/>
      <c r="R719" s="233"/>
      <c r="S719" s="233"/>
      <c r="T719" s="237"/>
      <c r="U719" s="233"/>
      <c r="V719" s="238"/>
      <c r="W719" s="238"/>
      <c r="AK719" s="242"/>
      <c r="AM719" s="236"/>
    </row>
    <row r="720" ht="14.25" customHeight="1">
      <c r="B720" s="233"/>
      <c r="D720" s="234"/>
      <c r="H720" s="235"/>
      <c r="K720" s="236"/>
      <c r="L720" s="237"/>
      <c r="M720" s="233"/>
      <c r="N720" s="233"/>
      <c r="O720" s="233"/>
      <c r="P720" s="233"/>
      <c r="Q720" s="233"/>
      <c r="R720" s="233"/>
      <c r="S720" s="233"/>
      <c r="T720" s="237"/>
      <c r="U720" s="233"/>
      <c r="V720" s="238"/>
      <c r="W720" s="238"/>
      <c r="AK720" s="242"/>
      <c r="AM720" s="236"/>
    </row>
    <row r="721" ht="14.25" customHeight="1">
      <c r="B721" s="233"/>
      <c r="D721" s="234"/>
      <c r="H721" s="235"/>
      <c r="K721" s="236"/>
      <c r="L721" s="237"/>
      <c r="M721" s="233"/>
      <c r="N721" s="233"/>
      <c r="O721" s="233"/>
      <c r="P721" s="233"/>
      <c r="Q721" s="233"/>
      <c r="R721" s="233"/>
      <c r="S721" s="233"/>
      <c r="T721" s="237"/>
      <c r="U721" s="233"/>
      <c r="V721" s="238"/>
      <c r="W721" s="238"/>
      <c r="AK721" s="242"/>
      <c r="AM721" s="236"/>
    </row>
    <row r="722" ht="14.25" customHeight="1">
      <c r="B722" s="233"/>
      <c r="D722" s="234"/>
      <c r="H722" s="235"/>
      <c r="K722" s="236"/>
      <c r="L722" s="237"/>
      <c r="M722" s="233"/>
      <c r="N722" s="233"/>
      <c r="O722" s="233"/>
      <c r="P722" s="233"/>
      <c r="Q722" s="233"/>
      <c r="R722" s="233"/>
      <c r="S722" s="233"/>
      <c r="T722" s="237"/>
      <c r="U722" s="233"/>
      <c r="V722" s="238"/>
      <c r="W722" s="238"/>
      <c r="AK722" s="242"/>
      <c r="AM722" s="236"/>
    </row>
    <row r="723" ht="14.25" customHeight="1">
      <c r="B723" s="233"/>
      <c r="D723" s="234"/>
      <c r="H723" s="235"/>
      <c r="K723" s="236"/>
      <c r="L723" s="237"/>
      <c r="M723" s="233"/>
      <c r="N723" s="233"/>
      <c r="O723" s="233"/>
      <c r="P723" s="233"/>
      <c r="Q723" s="233"/>
      <c r="R723" s="233"/>
      <c r="S723" s="233"/>
      <c r="T723" s="237"/>
      <c r="U723" s="233"/>
      <c r="V723" s="238"/>
      <c r="W723" s="238"/>
      <c r="AK723" s="242"/>
      <c r="AM723" s="236"/>
    </row>
    <row r="724" ht="14.25" customHeight="1">
      <c r="B724" s="233"/>
      <c r="D724" s="234"/>
      <c r="H724" s="235"/>
      <c r="K724" s="236"/>
      <c r="L724" s="237"/>
      <c r="M724" s="233"/>
      <c r="N724" s="233"/>
      <c r="O724" s="233"/>
      <c r="P724" s="233"/>
      <c r="Q724" s="233"/>
      <c r="R724" s="233"/>
      <c r="S724" s="233"/>
      <c r="T724" s="237"/>
      <c r="U724" s="233"/>
      <c r="V724" s="238"/>
      <c r="W724" s="238"/>
      <c r="AK724" s="242"/>
      <c r="AM724" s="236"/>
    </row>
    <row r="725" ht="14.25" customHeight="1">
      <c r="B725" s="233"/>
      <c r="D725" s="234"/>
      <c r="H725" s="235"/>
      <c r="K725" s="236"/>
      <c r="L725" s="237"/>
      <c r="M725" s="233"/>
      <c r="N725" s="233"/>
      <c r="O725" s="233"/>
      <c r="P725" s="233"/>
      <c r="Q725" s="233"/>
      <c r="R725" s="233"/>
      <c r="S725" s="233"/>
      <c r="T725" s="237"/>
      <c r="U725" s="233"/>
      <c r="V725" s="238"/>
      <c r="W725" s="238"/>
      <c r="AK725" s="242"/>
      <c r="AM725" s="236"/>
    </row>
    <row r="726" ht="14.25" customHeight="1">
      <c r="B726" s="233"/>
      <c r="D726" s="234"/>
      <c r="H726" s="235"/>
      <c r="K726" s="236"/>
      <c r="L726" s="237"/>
      <c r="M726" s="233"/>
      <c r="N726" s="233"/>
      <c r="O726" s="233"/>
      <c r="P726" s="233"/>
      <c r="Q726" s="233"/>
      <c r="R726" s="233"/>
      <c r="S726" s="233"/>
      <c r="T726" s="237"/>
      <c r="U726" s="233"/>
      <c r="V726" s="238"/>
      <c r="W726" s="238"/>
      <c r="AK726" s="242"/>
      <c r="AM726" s="236"/>
    </row>
    <row r="727" ht="14.25" customHeight="1">
      <c r="B727" s="233"/>
      <c r="D727" s="234"/>
      <c r="H727" s="235"/>
      <c r="K727" s="236"/>
      <c r="L727" s="237"/>
      <c r="M727" s="233"/>
      <c r="N727" s="233"/>
      <c r="O727" s="233"/>
      <c r="P727" s="233"/>
      <c r="Q727" s="233"/>
      <c r="R727" s="233"/>
      <c r="S727" s="233"/>
      <c r="T727" s="237"/>
      <c r="U727" s="233"/>
      <c r="V727" s="238"/>
      <c r="W727" s="238"/>
      <c r="AK727" s="242"/>
      <c r="AM727" s="236"/>
    </row>
    <row r="728" ht="14.25" customHeight="1">
      <c r="B728" s="233"/>
      <c r="D728" s="234"/>
      <c r="H728" s="235"/>
      <c r="K728" s="236"/>
      <c r="L728" s="237"/>
      <c r="M728" s="233"/>
      <c r="N728" s="233"/>
      <c r="O728" s="233"/>
      <c r="P728" s="233"/>
      <c r="Q728" s="233"/>
      <c r="R728" s="233"/>
      <c r="S728" s="233"/>
      <c r="T728" s="237"/>
      <c r="U728" s="233"/>
      <c r="V728" s="238"/>
      <c r="W728" s="238"/>
      <c r="AK728" s="242"/>
      <c r="AM728" s="236"/>
    </row>
    <row r="729" ht="14.25" customHeight="1">
      <c r="B729" s="233"/>
      <c r="D729" s="234"/>
      <c r="H729" s="235"/>
      <c r="K729" s="236"/>
      <c r="L729" s="237"/>
      <c r="M729" s="233"/>
      <c r="N729" s="233"/>
      <c r="O729" s="233"/>
      <c r="P729" s="233"/>
      <c r="Q729" s="233"/>
      <c r="R729" s="233"/>
      <c r="S729" s="233"/>
      <c r="T729" s="237"/>
      <c r="U729" s="233"/>
      <c r="V729" s="238"/>
      <c r="W729" s="238"/>
      <c r="AK729" s="242"/>
      <c r="AM729" s="236"/>
    </row>
    <row r="730" ht="14.25" customHeight="1">
      <c r="B730" s="233"/>
      <c r="D730" s="234"/>
      <c r="H730" s="235"/>
      <c r="K730" s="236"/>
      <c r="L730" s="237"/>
      <c r="M730" s="233"/>
      <c r="N730" s="233"/>
      <c r="O730" s="233"/>
      <c r="P730" s="233"/>
      <c r="Q730" s="233"/>
      <c r="R730" s="233"/>
      <c r="S730" s="233"/>
      <c r="T730" s="237"/>
      <c r="U730" s="233"/>
      <c r="V730" s="238"/>
      <c r="W730" s="238"/>
      <c r="AK730" s="242"/>
      <c r="AM730" s="236"/>
    </row>
    <row r="731" ht="14.25" customHeight="1">
      <c r="B731" s="233"/>
      <c r="D731" s="234"/>
      <c r="H731" s="235"/>
      <c r="K731" s="236"/>
      <c r="L731" s="237"/>
      <c r="M731" s="233"/>
      <c r="N731" s="233"/>
      <c r="O731" s="233"/>
      <c r="P731" s="233"/>
      <c r="Q731" s="233"/>
      <c r="R731" s="233"/>
      <c r="S731" s="233"/>
      <c r="T731" s="237"/>
      <c r="U731" s="233"/>
      <c r="V731" s="238"/>
      <c r="W731" s="238"/>
      <c r="AK731" s="242"/>
      <c r="AM731" s="236"/>
    </row>
    <row r="732" ht="14.25" customHeight="1">
      <c r="B732" s="233"/>
      <c r="D732" s="234"/>
      <c r="H732" s="235"/>
      <c r="K732" s="236"/>
      <c r="L732" s="237"/>
      <c r="M732" s="233"/>
      <c r="N732" s="233"/>
      <c r="O732" s="233"/>
      <c r="P732" s="233"/>
      <c r="Q732" s="233"/>
      <c r="R732" s="233"/>
      <c r="S732" s="233"/>
      <c r="T732" s="237"/>
      <c r="U732" s="233"/>
      <c r="V732" s="238"/>
      <c r="W732" s="238"/>
      <c r="AK732" s="242"/>
      <c r="AM732" s="236"/>
    </row>
    <row r="733" ht="14.25" customHeight="1">
      <c r="B733" s="233"/>
      <c r="D733" s="234"/>
      <c r="H733" s="235"/>
      <c r="K733" s="236"/>
      <c r="L733" s="237"/>
      <c r="M733" s="233"/>
      <c r="N733" s="233"/>
      <c r="O733" s="233"/>
      <c r="P733" s="233"/>
      <c r="Q733" s="233"/>
      <c r="R733" s="233"/>
      <c r="S733" s="233"/>
      <c r="T733" s="237"/>
      <c r="U733" s="233"/>
      <c r="V733" s="238"/>
      <c r="W733" s="238"/>
      <c r="AK733" s="242"/>
      <c r="AM733" s="236"/>
    </row>
    <row r="734" ht="14.25" customHeight="1">
      <c r="B734" s="233"/>
      <c r="D734" s="234"/>
      <c r="H734" s="235"/>
      <c r="K734" s="236"/>
      <c r="L734" s="237"/>
      <c r="M734" s="233"/>
      <c r="N734" s="233"/>
      <c r="O734" s="233"/>
      <c r="P734" s="233"/>
      <c r="Q734" s="233"/>
      <c r="R734" s="233"/>
      <c r="S734" s="233"/>
      <c r="T734" s="237"/>
      <c r="U734" s="233"/>
      <c r="V734" s="238"/>
      <c r="W734" s="238"/>
      <c r="AK734" s="242"/>
      <c r="AM734" s="236"/>
    </row>
    <row r="735" ht="14.25" customHeight="1">
      <c r="B735" s="233"/>
      <c r="D735" s="234"/>
      <c r="H735" s="235"/>
      <c r="K735" s="236"/>
      <c r="L735" s="237"/>
      <c r="M735" s="233"/>
      <c r="N735" s="233"/>
      <c r="O735" s="233"/>
      <c r="P735" s="233"/>
      <c r="Q735" s="233"/>
      <c r="R735" s="233"/>
      <c r="S735" s="233"/>
      <c r="T735" s="237"/>
      <c r="U735" s="233"/>
      <c r="V735" s="238"/>
      <c r="W735" s="238"/>
      <c r="AK735" s="242"/>
      <c r="AM735" s="236"/>
    </row>
    <row r="736" ht="14.25" customHeight="1">
      <c r="B736" s="233"/>
      <c r="D736" s="234"/>
      <c r="H736" s="235"/>
      <c r="K736" s="236"/>
      <c r="L736" s="237"/>
      <c r="M736" s="233"/>
      <c r="N736" s="233"/>
      <c r="O736" s="233"/>
      <c r="P736" s="233"/>
      <c r="Q736" s="233"/>
      <c r="R736" s="233"/>
      <c r="S736" s="233"/>
      <c r="T736" s="237"/>
      <c r="U736" s="233"/>
      <c r="V736" s="238"/>
      <c r="W736" s="238"/>
      <c r="AK736" s="242"/>
      <c r="AM736" s="236"/>
    </row>
    <row r="737" ht="14.25" customHeight="1">
      <c r="B737" s="233"/>
      <c r="D737" s="234"/>
      <c r="H737" s="235"/>
      <c r="K737" s="236"/>
      <c r="L737" s="237"/>
      <c r="M737" s="233"/>
      <c r="N737" s="233"/>
      <c r="O737" s="233"/>
      <c r="P737" s="233"/>
      <c r="Q737" s="233"/>
      <c r="R737" s="233"/>
      <c r="S737" s="233"/>
      <c r="T737" s="237"/>
      <c r="U737" s="233"/>
      <c r="V737" s="238"/>
      <c r="W737" s="238"/>
      <c r="AK737" s="242"/>
      <c r="AM737" s="236"/>
    </row>
    <row r="738" ht="14.25" customHeight="1">
      <c r="B738" s="233"/>
      <c r="D738" s="234"/>
      <c r="H738" s="235"/>
      <c r="K738" s="236"/>
      <c r="L738" s="237"/>
      <c r="M738" s="233"/>
      <c r="N738" s="233"/>
      <c r="O738" s="233"/>
      <c r="P738" s="233"/>
      <c r="Q738" s="233"/>
      <c r="R738" s="233"/>
      <c r="S738" s="233"/>
      <c r="T738" s="237"/>
      <c r="U738" s="233"/>
      <c r="V738" s="238"/>
      <c r="W738" s="238"/>
      <c r="AK738" s="242"/>
      <c r="AM738" s="236"/>
    </row>
    <row r="739" ht="14.25" customHeight="1">
      <c r="B739" s="233"/>
      <c r="D739" s="234"/>
      <c r="H739" s="235"/>
      <c r="K739" s="236"/>
      <c r="L739" s="237"/>
      <c r="M739" s="233"/>
      <c r="N739" s="233"/>
      <c r="O739" s="233"/>
      <c r="P739" s="233"/>
      <c r="Q739" s="233"/>
      <c r="R739" s="233"/>
      <c r="S739" s="233"/>
      <c r="T739" s="237"/>
      <c r="U739" s="233"/>
      <c r="V739" s="238"/>
      <c r="W739" s="238"/>
      <c r="AK739" s="242"/>
      <c r="AM739" s="236"/>
    </row>
    <row r="740" ht="14.25" customHeight="1">
      <c r="B740" s="233"/>
      <c r="D740" s="234"/>
      <c r="H740" s="235"/>
      <c r="K740" s="236"/>
      <c r="L740" s="237"/>
      <c r="M740" s="233"/>
      <c r="N740" s="233"/>
      <c r="O740" s="233"/>
      <c r="P740" s="233"/>
      <c r="Q740" s="233"/>
      <c r="R740" s="233"/>
      <c r="S740" s="233"/>
      <c r="T740" s="237"/>
      <c r="U740" s="233"/>
      <c r="V740" s="238"/>
      <c r="W740" s="238"/>
      <c r="AK740" s="242"/>
      <c r="AM740" s="236"/>
    </row>
    <row r="741" ht="14.25" customHeight="1">
      <c r="B741" s="233"/>
      <c r="D741" s="234"/>
      <c r="H741" s="235"/>
      <c r="K741" s="236"/>
      <c r="L741" s="237"/>
      <c r="M741" s="233"/>
      <c r="N741" s="233"/>
      <c r="O741" s="233"/>
      <c r="P741" s="233"/>
      <c r="Q741" s="233"/>
      <c r="R741" s="233"/>
      <c r="S741" s="233"/>
      <c r="T741" s="237"/>
      <c r="U741" s="233"/>
      <c r="V741" s="238"/>
      <c r="W741" s="238"/>
      <c r="AK741" s="242"/>
      <c r="AM741" s="236"/>
    </row>
    <row r="742" ht="14.25" customHeight="1">
      <c r="B742" s="233"/>
      <c r="D742" s="234"/>
      <c r="H742" s="235"/>
      <c r="K742" s="236"/>
      <c r="L742" s="237"/>
      <c r="M742" s="233"/>
      <c r="N742" s="233"/>
      <c r="O742" s="233"/>
      <c r="P742" s="233"/>
      <c r="Q742" s="233"/>
      <c r="R742" s="233"/>
      <c r="S742" s="233"/>
      <c r="T742" s="237"/>
      <c r="U742" s="233"/>
      <c r="V742" s="238"/>
      <c r="W742" s="238"/>
      <c r="AK742" s="242"/>
      <c r="AM742" s="236"/>
    </row>
    <row r="743" ht="14.25" customHeight="1">
      <c r="B743" s="233"/>
      <c r="D743" s="234"/>
      <c r="H743" s="235"/>
      <c r="K743" s="236"/>
      <c r="L743" s="237"/>
      <c r="M743" s="233"/>
      <c r="N743" s="233"/>
      <c r="O743" s="233"/>
      <c r="P743" s="233"/>
      <c r="Q743" s="233"/>
      <c r="R743" s="233"/>
      <c r="S743" s="233"/>
      <c r="T743" s="237"/>
      <c r="U743" s="233"/>
      <c r="V743" s="238"/>
      <c r="W743" s="238"/>
      <c r="AK743" s="242"/>
      <c r="AM743" s="236"/>
    </row>
    <row r="744" ht="14.25" customHeight="1">
      <c r="B744" s="233"/>
      <c r="D744" s="234"/>
      <c r="H744" s="235"/>
      <c r="K744" s="236"/>
      <c r="L744" s="237"/>
      <c r="M744" s="233"/>
      <c r="N744" s="233"/>
      <c r="O744" s="233"/>
      <c r="P744" s="233"/>
      <c r="Q744" s="233"/>
      <c r="R744" s="233"/>
      <c r="S744" s="233"/>
      <c r="T744" s="237"/>
      <c r="U744" s="233"/>
      <c r="V744" s="238"/>
      <c r="W744" s="238"/>
      <c r="AK744" s="242"/>
      <c r="AM744" s="236"/>
    </row>
    <row r="745" ht="14.25" customHeight="1">
      <c r="B745" s="233"/>
      <c r="D745" s="234"/>
      <c r="H745" s="235"/>
      <c r="K745" s="236"/>
      <c r="L745" s="237"/>
      <c r="M745" s="233"/>
      <c r="N745" s="233"/>
      <c r="O745" s="233"/>
      <c r="P745" s="233"/>
      <c r="Q745" s="233"/>
      <c r="R745" s="233"/>
      <c r="S745" s="233"/>
      <c r="T745" s="237"/>
      <c r="U745" s="233"/>
      <c r="V745" s="238"/>
      <c r="W745" s="238"/>
      <c r="AK745" s="242"/>
      <c r="AM745" s="236"/>
    </row>
    <row r="746" ht="14.25" customHeight="1">
      <c r="B746" s="233"/>
      <c r="D746" s="234"/>
      <c r="H746" s="235"/>
      <c r="K746" s="236"/>
      <c r="L746" s="237"/>
      <c r="M746" s="233"/>
      <c r="N746" s="233"/>
      <c r="O746" s="233"/>
      <c r="P746" s="233"/>
      <c r="Q746" s="233"/>
      <c r="R746" s="233"/>
      <c r="S746" s="233"/>
      <c r="T746" s="237"/>
      <c r="U746" s="233"/>
      <c r="V746" s="238"/>
      <c r="W746" s="238"/>
      <c r="AK746" s="242"/>
      <c r="AM746" s="236"/>
    </row>
    <row r="747" ht="14.25" customHeight="1">
      <c r="B747" s="233"/>
      <c r="D747" s="234"/>
      <c r="H747" s="235"/>
      <c r="K747" s="236"/>
      <c r="L747" s="237"/>
      <c r="M747" s="233"/>
      <c r="N747" s="233"/>
      <c r="O747" s="233"/>
      <c r="P747" s="233"/>
      <c r="Q747" s="233"/>
      <c r="R747" s="233"/>
      <c r="S747" s="233"/>
      <c r="T747" s="237"/>
      <c r="U747" s="233"/>
      <c r="V747" s="238"/>
      <c r="W747" s="238"/>
      <c r="AK747" s="242"/>
      <c r="AM747" s="236"/>
    </row>
    <row r="748" ht="14.25" customHeight="1">
      <c r="B748" s="233"/>
      <c r="D748" s="234"/>
      <c r="H748" s="235"/>
      <c r="K748" s="236"/>
      <c r="L748" s="237"/>
      <c r="M748" s="233"/>
      <c r="N748" s="233"/>
      <c r="O748" s="233"/>
      <c r="P748" s="233"/>
      <c r="Q748" s="233"/>
      <c r="R748" s="233"/>
      <c r="S748" s="233"/>
      <c r="T748" s="237"/>
      <c r="U748" s="233"/>
      <c r="V748" s="238"/>
      <c r="W748" s="238"/>
      <c r="AK748" s="242"/>
      <c r="AM748" s="236"/>
    </row>
    <row r="749" ht="14.25" customHeight="1">
      <c r="B749" s="233"/>
      <c r="D749" s="234"/>
      <c r="H749" s="235"/>
      <c r="K749" s="236"/>
      <c r="L749" s="237"/>
      <c r="M749" s="233"/>
      <c r="N749" s="233"/>
      <c r="O749" s="233"/>
      <c r="P749" s="233"/>
      <c r="Q749" s="233"/>
      <c r="R749" s="233"/>
      <c r="S749" s="233"/>
      <c r="T749" s="237"/>
      <c r="U749" s="233"/>
      <c r="V749" s="238"/>
      <c r="W749" s="238"/>
      <c r="AK749" s="242"/>
      <c r="AM749" s="236"/>
    </row>
    <row r="750" ht="14.25" customHeight="1">
      <c r="B750" s="233"/>
      <c r="D750" s="234"/>
      <c r="H750" s="235"/>
      <c r="K750" s="236"/>
      <c r="L750" s="237"/>
      <c r="M750" s="233"/>
      <c r="N750" s="233"/>
      <c r="O750" s="233"/>
      <c r="P750" s="233"/>
      <c r="Q750" s="233"/>
      <c r="R750" s="233"/>
      <c r="S750" s="233"/>
      <c r="T750" s="237"/>
      <c r="U750" s="233"/>
      <c r="V750" s="238"/>
      <c r="W750" s="238"/>
      <c r="AK750" s="242"/>
      <c r="AM750" s="236"/>
    </row>
    <row r="751" ht="14.25" customHeight="1">
      <c r="B751" s="233"/>
      <c r="D751" s="234"/>
      <c r="H751" s="235"/>
      <c r="K751" s="236"/>
      <c r="L751" s="237"/>
      <c r="M751" s="233"/>
      <c r="N751" s="233"/>
      <c r="O751" s="233"/>
      <c r="P751" s="233"/>
      <c r="Q751" s="233"/>
      <c r="R751" s="233"/>
      <c r="S751" s="233"/>
      <c r="T751" s="237"/>
      <c r="U751" s="233"/>
      <c r="V751" s="238"/>
      <c r="W751" s="238"/>
      <c r="AK751" s="242"/>
      <c r="AM751" s="236"/>
    </row>
    <row r="752" ht="14.25" customHeight="1">
      <c r="B752" s="233"/>
      <c r="D752" s="234"/>
      <c r="H752" s="235"/>
      <c r="K752" s="236"/>
      <c r="L752" s="237"/>
      <c r="M752" s="233"/>
      <c r="N752" s="233"/>
      <c r="O752" s="233"/>
      <c r="P752" s="233"/>
      <c r="Q752" s="233"/>
      <c r="R752" s="233"/>
      <c r="S752" s="233"/>
      <c r="T752" s="237"/>
      <c r="U752" s="233"/>
      <c r="V752" s="238"/>
      <c r="W752" s="238"/>
      <c r="AK752" s="242"/>
      <c r="AM752" s="236"/>
    </row>
    <row r="753" ht="14.25" customHeight="1">
      <c r="B753" s="233"/>
      <c r="D753" s="234"/>
      <c r="H753" s="235"/>
      <c r="K753" s="236"/>
      <c r="L753" s="237"/>
      <c r="M753" s="233"/>
      <c r="N753" s="233"/>
      <c r="O753" s="233"/>
      <c r="P753" s="233"/>
      <c r="Q753" s="233"/>
      <c r="R753" s="233"/>
      <c r="S753" s="233"/>
      <c r="T753" s="237"/>
      <c r="U753" s="233"/>
      <c r="V753" s="238"/>
      <c r="W753" s="238"/>
      <c r="AK753" s="242"/>
      <c r="AM753" s="236"/>
    </row>
    <row r="754" ht="14.25" customHeight="1">
      <c r="B754" s="233"/>
      <c r="D754" s="234"/>
      <c r="H754" s="235"/>
      <c r="K754" s="236"/>
      <c r="L754" s="237"/>
      <c r="M754" s="233"/>
      <c r="N754" s="233"/>
      <c r="O754" s="233"/>
      <c r="P754" s="233"/>
      <c r="Q754" s="233"/>
      <c r="R754" s="233"/>
      <c r="S754" s="233"/>
      <c r="T754" s="237"/>
      <c r="U754" s="233"/>
      <c r="V754" s="238"/>
      <c r="W754" s="238"/>
      <c r="AK754" s="242"/>
      <c r="AM754" s="236"/>
    </row>
    <row r="755" ht="14.25" customHeight="1">
      <c r="B755" s="233"/>
      <c r="D755" s="234"/>
      <c r="H755" s="235"/>
      <c r="K755" s="236"/>
      <c r="L755" s="237"/>
      <c r="M755" s="233"/>
      <c r="N755" s="233"/>
      <c r="O755" s="233"/>
      <c r="P755" s="233"/>
      <c r="Q755" s="233"/>
      <c r="R755" s="233"/>
      <c r="S755" s="233"/>
      <c r="T755" s="237"/>
      <c r="U755" s="233"/>
      <c r="V755" s="238"/>
      <c r="W755" s="238"/>
      <c r="AK755" s="242"/>
      <c r="AM755" s="236"/>
    </row>
    <row r="756" ht="14.25" customHeight="1">
      <c r="B756" s="233"/>
      <c r="D756" s="234"/>
      <c r="H756" s="235"/>
      <c r="K756" s="236"/>
      <c r="L756" s="237"/>
      <c r="M756" s="233"/>
      <c r="N756" s="233"/>
      <c r="O756" s="233"/>
      <c r="P756" s="233"/>
      <c r="Q756" s="233"/>
      <c r="R756" s="233"/>
      <c r="S756" s="233"/>
      <c r="T756" s="237"/>
      <c r="U756" s="233"/>
      <c r="V756" s="238"/>
      <c r="W756" s="238"/>
      <c r="AK756" s="242"/>
      <c r="AM756" s="236"/>
    </row>
    <row r="757" ht="14.25" customHeight="1">
      <c r="B757" s="233"/>
      <c r="D757" s="234"/>
      <c r="H757" s="235"/>
      <c r="K757" s="236"/>
      <c r="L757" s="237"/>
      <c r="M757" s="233"/>
      <c r="N757" s="233"/>
      <c r="O757" s="233"/>
      <c r="P757" s="233"/>
      <c r="Q757" s="233"/>
      <c r="R757" s="233"/>
      <c r="S757" s="233"/>
      <c r="T757" s="237"/>
      <c r="U757" s="233"/>
      <c r="V757" s="238"/>
      <c r="W757" s="238"/>
      <c r="AK757" s="242"/>
      <c r="AM757" s="236"/>
    </row>
    <row r="758" ht="14.25" customHeight="1">
      <c r="B758" s="233"/>
      <c r="D758" s="234"/>
      <c r="H758" s="235"/>
      <c r="K758" s="236"/>
      <c r="L758" s="237"/>
      <c r="M758" s="233"/>
      <c r="N758" s="233"/>
      <c r="O758" s="233"/>
      <c r="P758" s="233"/>
      <c r="Q758" s="233"/>
      <c r="R758" s="233"/>
      <c r="S758" s="233"/>
      <c r="T758" s="237"/>
      <c r="U758" s="233"/>
      <c r="V758" s="238"/>
      <c r="W758" s="238"/>
      <c r="AK758" s="242"/>
      <c r="AM758" s="236"/>
    </row>
    <row r="759" ht="14.25" customHeight="1">
      <c r="B759" s="233"/>
      <c r="D759" s="234"/>
      <c r="H759" s="235"/>
      <c r="K759" s="236"/>
      <c r="L759" s="237"/>
      <c r="M759" s="233"/>
      <c r="N759" s="233"/>
      <c r="O759" s="233"/>
      <c r="P759" s="233"/>
      <c r="Q759" s="233"/>
      <c r="R759" s="233"/>
      <c r="S759" s="233"/>
      <c r="T759" s="237"/>
      <c r="U759" s="233"/>
      <c r="V759" s="238"/>
      <c r="W759" s="238"/>
      <c r="AK759" s="242"/>
      <c r="AM759" s="236"/>
    </row>
    <row r="760" ht="14.25" customHeight="1">
      <c r="B760" s="233"/>
      <c r="D760" s="234"/>
      <c r="H760" s="235"/>
      <c r="K760" s="236"/>
      <c r="L760" s="237"/>
      <c r="M760" s="233"/>
      <c r="N760" s="233"/>
      <c r="O760" s="233"/>
      <c r="P760" s="233"/>
      <c r="Q760" s="233"/>
      <c r="R760" s="233"/>
      <c r="S760" s="233"/>
      <c r="T760" s="237"/>
      <c r="U760" s="233"/>
      <c r="V760" s="238"/>
      <c r="W760" s="238"/>
      <c r="AK760" s="242"/>
      <c r="AM760" s="236"/>
    </row>
    <row r="761" ht="14.25" customHeight="1">
      <c r="B761" s="233"/>
      <c r="D761" s="234"/>
      <c r="H761" s="235"/>
      <c r="K761" s="236"/>
      <c r="L761" s="237"/>
      <c r="M761" s="233"/>
      <c r="N761" s="233"/>
      <c r="O761" s="233"/>
      <c r="P761" s="233"/>
      <c r="Q761" s="233"/>
      <c r="R761" s="233"/>
      <c r="S761" s="233"/>
      <c r="T761" s="237"/>
      <c r="U761" s="233"/>
      <c r="V761" s="238"/>
      <c r="W761" s="238"/>
      <c r="AK761" s="242"/>
      <c r="AM761" s="236"/>
    </row>
    <row r="762" ht="14.25" customHeight="1">
      <c r="B762" s="233"/>
      <c r="D762" s="234"/>
      <c r="H762" s="235"/>
      <c r="K762" s="236"/>
      <c r="L762" s="237"/>
      <c r="M762" s="233"/>
      <c r="N762" s="233"/>
      <c r="O762" s="233"/>
      <c r="P762" s="233"/>
      <c r="Q762" s="233"/>
      <c r="R762" s="233"/>
      <c r="S762" s="233"/>
      <c r="T762" s="237"/>
      <c r="U762" s="233"/>
      <c r="V762" s="238"/>
      <c r="W762" s="238"/>
      <c r="AK762" s="242"/>
      <c r="AM762" s="236"/>
    </row>
    <row r="763" ht="14.25" customHeight="1">
      <c r="B763" s="233"/>
      <c r="D763" s="234"/>
      <c r="H763" s="235"/>
      <c r="K763" s="236"/>
      <c r="L763" s="237"/>
      <c r="M763" s="233"/>
      <c r="N763" s="233"/>
      <c r="O763" s="233"/>
      <c r="P763" s="233"/>
      <c r="Q763" s="233"/>
      <c r="R763" s="233"/>
      <c r="S763" s="233"/>
      <c r="T763" s="237"/>
      <c r="U763" s="233"/>
      <c r="V763" s="238"/>
      <c r="W763" s="238"/>
      <c r="AK763" s="242"/>
      <c r="AM763" s="236"/>
    </row>
    <row r="764" ht="14.25" customHeight="1">
      <c r="B764" s="233"/>
      <c r="D764" s="234"/>
      <c r="H764" s="235"/>
      <c r="K764" s="236"/>
      <c r="L764" s="237"/>
      <c r="M764" s="233"/>
      <c r="N764" s="233"/>
      <c r="O764" s="233"/>
      <c r="P764" s="233"/>
      <c r="Q764" s="233"/>
      <c r="R764" s="233"/>
      <c r="S764" s="233"/>
      <c r="T764" s="237"/>
      <c r="U764" s="233"/>
      <c r="V764" s="238"/>
      <c r="W764" s="238"/>
      <c r="AK764" s="242"/>
      <c r="AM764" s="236"/>
    </row>
    <row r="765" ht="14.25" customHeight="1">
      <c r="B765" s="233"/>
      <c r="D765" s="234"/>
      <c r="H765" s="235"/>
      <c r="K765" s="236"/>
      <c r="L765" s="237"/>
      <c r="M765" s="233"/>
      <c r="N765" s="233"/>
      <c r="O765" s="233"/>
      <c r="P765" s="233"/>
      <c r="Q765" s="233"/>
      <c r="R765" s="233"/>
      <c r="S765" s="233"/>
      <c r="T765" s="237"/>
      <c r="U765" s="233"/>
      <c r="V765" s="238"/>
      <c r="W765" s="238"/>
      <c r="AK765" s="242"/>
      <c r="AM765" s="236"/>
    </row>
    <row r="766" ht="14.25" customHeight="1">
      <c r="B766" s="233"/>
      <c r="D766" s="234"/>
      <c r="H766" s="235"/>
      <c r="K766" s="236"/>
      <c r="L766" s="237"/>
      <c r="M766" s="233"/>
      <c r="N766" s="233"/>
      <c r="O766" s="233"/>
      <c r="P766" s="233"/>
      <c r="Q766" s="233"/>
      <c r="R766" s="233"/>
      <c r="S766" s="233"/>
      <c r="T766" s="237"/>
      <c r="U766" s="233"/>
      <c r="V766" s="238"/>
      <c r="W766" s="238"/>
      <c r="AK766" s="242"/>
      <c r="AM766" s="236"/>
    </row>
    <row r="767" ht="14.25" customHeight="1">
      <c r="B767" s="233"/>
      <c r="D767" s="234"/>
      <c r="H767" s="235"/>
      <c r="K767" s="236"/>
      <c r="L767" s="237"/>
      <c r="M767" s="233"/>
      <c r="N767" s="233"/>
      <c r="O767" s="233"/>
      <c r="P767" s="233"/>
      <c r="Q767" s="233"/>
      <c r="R767" s="233"/>
      <c r="S767" s="233"/>
      <c r="T767" s="237"/>
      <c r="U767" s="233"/>
      <c r="V767" s="238"/>
      <c r="W767" s="238"/>
      <c r="AK767" s="242"/>
      <c r="AM767" s="236"/>
    </row>
    <row r="768" ht="14.25" customHeight="1">
      <c r="B768" s="233"/>
      <c r="D768" s="234"/>
      <c r="H768" s="235"/>
      <c r="K768" s="236"/>
      <c r="L768" s="237"/>
      <c r="M768" s="233"/>
      <c r="N768" s="233"/>
      <c r="O768" s="233"/>
      <c r="P768" s="233"/>
      <c r="Q768" s="233"/>
      <c r="R768" s="233"/>
      <c r="S768" s="233"/>
      <c r="T768" s="237"/>
      <c r="U768" s="233"/>
      <c r="V768" s="238"/>
      <c r="W768" s="238"/>
      <c r="AK768" s="242"/>
      <c r="AM768" s="236"/>
    </row>
    <row r="769" ht="14.25" customHeight="1">
      <c r="B769" s="233"/>
      <c r="D769" s="234"/>
      <c r="H769" s="235"/>
      <c r="K769" s="236"/>
      <c r="L769" s="237"/>
      <c r="M769" s="233"/>
      <c r="N769" s="233"/>
      <c r="O769" s="233"/>
      <c r="P769" s="233"/>
      <c r="Q769" s="233"/>
      <c r="R769" s="233"/>
      <c r="S769" s="233"/>
      <c r="T769" s="237"/>
      <c r="U769" s="233"/>
      <c r="V769" s="238"/>
      <c r="W769" s="238"/>
      <c r="AK769" s="242"/>
      <c r="AM769" s="236"/>
    </row>
    <row r="770" ht="14.25" customHeight="1">
      <c r="B770" s="233"/>
      <c r="D770" s="234"/>
      <c r="H770" s="235"/>
      <c r="K770" s="236"/>
      <c r="L770" s="237"/>
      <c r="M770" s="233"/>
      <c r="N770" s="233"/>
      <c r="O770" s="233"/>
      <c r="P770" s="233"/>
      <c r="Q770" s="233"/>
      <c r="R770" s="233"/>
      <c r="S770" s="233"/>
      <c r="T770" s="237"/>
      <c r="U770" s="233"/>
      <c r="V770" s="238"/>
      <c r="W770" s="238"/>
      <c r="AK770" s="242"/>
      <c r="AM770" s="236"/>
    </row>
    <row r="771" ht="14.25" customHeight="1">
      <c r="B771" s="233"/>
      <c r="D771" s="234"/>
      <c r="H771" s="235"/>
      <c r="K771" s="236"/>
      <c r="L771" s="237"/>
      <c r="M771" s="233"/>
      <c r="N771" s="233"/>
      <c r="O771" s="233"/>
      <c r="P771" s="233"/>
      <c r="Q771" s="233"/>
      <c r="R771" s="233"/>
      <c r="S771" s="233"/>
      <c r="T771" s="237"/>
      <c r="U771" s="233"/>
      <c r="V771" s="238"/>
      <c r="W771" s="238"/>
      <c r="AK771" s="242"/>
      <c r="AM771" s="236"/>
    </row>
    <row r="772" ht="14.25" customHeight="1">
      <c r="B772" s="233"/>
      <c r="D772" s="234"/>
      <c r="H772" s="235"/>
      <c r="K772" s="236"/>
      <c r="L772" s="237"/>
      <c r="M772" s="233"/>
      <c r="N772" s="233"/>
      <c r="O772" s="233"/>
      <c r="P772" s="233"/>
      <c r="Q772" s="233"/>
      <c r="R772" s="233"/>
      <c r="S772" s="233"/>
      <c r="T772" s="237"/>
      <c r="U772" s="233"/>
      <c r="V772" s="238"/>
      <c r="W772" s="238"/>
      <c r="AK772" s="242"/>
      <c r="AM772" s="236"/>
    </row>
    <row r="773" ht="14.25" customHeight="1">
      <c r="B773" s="233"/>
      <c r="D773" s="234"/>
      <c r="H773" s="235"/>
      <c r="K773" s="236"/>
      <c r="L773" s="237"/>
      <c r="M773" s="233"/>
      <c r="N773" s="233"/>
      <c r="O773" s="233"/>
      <c r="P773" s="233"/>
      <c r="Q773" s="233"/>
      <c r="R773" s="233"/>
      <c r="S773" s="233"/>
      <c r="T773" s="237"/>
      <c r="U773" s="233"/>
      <c r="V773" s="238"/>
      <c r="W773" s="238"/>
      <c r="AK773" s="242"/>
      <c r="AM773" s="236"/>
    </row>
    <row r="774" ht="14.25" customHeight="1">
      <c r="B774" s="233"/>
      <c r="D774" s="234"/>
      <c r="H774" s="235"/>
      <c r="K774" s="236"/>
      <c r="L774" s="237"/>
      <c r="M774" s="233"/>
      <c r="N774" s="233"/>
      <c r="O774" s="233"/>
      <c r="P774" s="233"/>
      <c r="Q774" s="233"/>
      <c r="R774" s="233"/>
      <c r="S774" s="233"/>
      <c r="T774" s="237"/>
      <c r="U774" s="233"/>
      <c r="V774" s="238"/>
      <c r="W774" s="238"/>
      <c r="AK774" s="242"/>
      <c r="AM774" s="236"/>
    </row>
    <row r="775" ht="14.25" customHeight="1">
      <c r="B775" s="233"/>
      <c r="D775" s="234"/>
      <c r="H775" s="235"/>
      <c r="K775" s="236"/>
      <c r="L775" s="237"/>
      <c r="M775" s="233"/>
      <c r="N775" s="233"/>
      <c r="O775" s="233"/>
      <c r="P775" s="233"/>
      <c r="Q775" s="233"/>
      <c r="R775" s="233"/>
      <c r="S775" s="233"/>
      <c r="T775" s="237"/>
      <c r="U775" s="233"/>
      <c r="V775" s="238"/>
      <c r="W775" s="238"/>
      <c r="AK775" s="242"/>
      <c r="AM775" s="236"/>
    </row>
    <row r="776" ht="14.25" customHeight="1">
      <c r="B776" s="233"/>
      <c r="D776" s="234"/>
      <c r="H776" s="235"/>
      <c r="K776" s="236"/>
      <c r="L776" s="237"/>
      <c r="M776" s="233"/>
      <c r="N776" s="233"/>
      <c r="O776" s="233"/>
      <c r="P776" s="233"/>
      <c r="Q776" s="233"/>
      <c r="R776" s="233"/>
      <c r="S776" s="233"/>
      <c r="T776" s="237"/>
      <c r="U776" s="233"/>
      <c r="V776" s="238"/>
      <c r="W776" s="238"/>
      <c r="AK776" s="242"/>
      <c r="AM776" s="236"/>
    </row>
    <row r="777" ht="14.25" customHeight="1">
      <c r="B777" s="233"/>
      <c r="D777" s="234"/>
      <c r="H777" s="235"/>
      <c r="K777" s="236"/>
      <c r="L777" s="237"/>
      <c r="M777" s="233"/>
      <c r="N777" s="233"/>
      <c r="O777" s="233"/>
      <c r="P777" s="233"/>
      <c r="Q777" s="233"/>
      <c r="R777" s="233"/>
      <c r="S777" s="233"/>
      <c r="T777" s="237"/>
      <c r="U777" s="233"/>
      <c r="V777" s="238"/>
      <c r="W777" s="238"/>
      <c r="AK777" s="242"/>
      <c r="AM777" s="236"/>
    </row>
    <row r="778" ht="14.25" customHeight="1">
      <c r="B778" s="233"/>
      <c r="D778" s="234"/>
      <c r="H778" s="235"/>
      <c r="K778" s="236"/>
      <c r="L778" s="237"/>
      <c r="M778" s="233"/>
      <c r="N778" s="233"/>
      <c r="O778" s="233"/>
      <c r="P778" s="233"/>
      <c r="Q778" s="233"/>
      <c r="R778" s="233"/>
      <c r="S778" s="233"/>
      <c r="T778" s="237"/>
      <c r="U778" s="233"/>
      <c r="V778" s="238"/>
      <c r="W778" s="238"/>
      <c r="AK778" s="242"/>
      <c r="AM778" s="236"/>
    </row>
    <row r="779" ht="14.25" customHeight="1">
      <c r="B779" s="233"/>
      <c r="D779" s="234"/>
      <c r="H779" s="235"/>
      <c r="K779" s="236"/>
      <c r="L779" s="237"/>
      <c r="M779" s="233"/>
      <c r="N779" s="233"/>
      <c r="O779" s="233"/>
      <c r="P779" s="233"/>
      <c r="Q779" s="233"/>
      <c r="R779" s="233"/>
      <c r="S779" s="233"/>
      <c r="T779" s="237"/>
      <c r="U779" s="233"/>
      <c r="V779" s="238"/>
      <c r="W779" s="238"/>
      <c r="AK779" s="242"/>
      <c r="AM779" s="236"/>
    </row>
    <row r="780" ht="14.25" customHeight="1">
      <c r="B780" s="233"/>
      <c r="D780" s="234"/>
      <c r="H780" s="235"/>
      <c r="K780" s="236"/>
      <c r="L780" s="237"/>
      <c r="M780" s="233"/>
      <c r="N780" s="233"/>
      <c r="O780" s="233"/>
      <c r="P780" s="233"/>
      <c r="Q780" s="233"/>
      <c r="R780" s="233"/>
      <c r="S780" s="233"/>
      <c r="T780" s="237"/>
      <c r="U780" s="233"/>
      <c r="V780" s="238"/>
      <c r="W780" s="238"/>
      <c r="AK780" s="242"/>
      <c r="AM780" s="236"/>
    </row>
    <row r="781" ht="14.25" customHeight="1">
      <c r="B781" s="233"/>
      <c r="D781" s="234"/>
      <c r="H781" s="235"/>
      <c r="K781" s="236"/>
      <c r="L781" s="237"/>
      <c r="M781" s="233"/>
      <c r="N781" s="233"/>
      <c r="O781" s="233"/>
      <c r="P781" s="233"/>
      <c r="Q781" s="233"/>
      <c r="R781" s="233"/>
      <c r="S781" s="233"/>
      <c r="T781" s="237"/>
      <c r="U781" s="233"/>
      <c r="V781" s="238"/>
      <c r="W781" s="238"/>
      <c r="AK781" s="242"/>
      <c r="AM781" s="236"/>
    </row>
    <row r="782" ht="14.25" customHeight="1">
      <c r="B782" s="233"/>
      <c r="D782" s="234"/>
      <c r="H782" s="235"/>
      <c r="K782" s="236"/>
      <c r="L782" s="237"/>
      <c r="M782" s="233"/>
      <c r="N782" s="233"/>
      <c r="O782" s="233"/>
      <c r="P782" s="233"/>
      <c r="Q782" s="233"/>
      <c r="R782" s="233"/>
      <c r="S782" s="233"/>
      <c r="T782" s="237"/>
      <c r="U782" s="233"/>
      <c r="V782" s="238"/>
      <c r="W782" s="238"/>
      <c r="AK782" s="242"/>
      <c r="AM782" s="236"/>
    </row>
    <row r="783" ht="14.25" customHeight="1">
      <c r="B783" s="233"/>
      <c r="D783" s="234"/>
      <c r="H783" s="235"/>
      <c r="K783" s="236"/>
      <c r="L783" s="237"/>
      <c r="M783" s="233"/>
      <c r="N783" s="233"/>
      <c r="O783" s="233"/>
      <c r="P783" s="233"/>
      <c r="Q783" s="233"/>
      <c r="R783" s="233"/>
      <c r="S783" s="233"/>
      <c r="T783" s="237"/>
      <c r="U783" s="233"/>
      <c r="V783" s="238"/>
      <c r="W783" s="238"/>
      <c r="AK783" s="242"/>
      <c r="AM783" s="236"/>
    </row>
    <row r="784" ht="14.25" customHeight="1">
      <c r="B784" s="233"/>
      <c r="D784" s="234"/>
      <c r="H784" s="235"/>
      <c r="K784" s="236"/>
      <c r="L784" s="237"/>
      <c r="M784" s="233"/>
      <c r="N784" s="233"/>
      <c r="O784" s="233"/>
      <c r="P784" s="233"/>
      <c r="Q784" s="233"/>
      <c r="R784" s="233"/>
      <c r="S784" s="233"/>
      <c r="T784" s="237"/>
      <c r="U784" s="233"/>
      <c r="V784" s="238"/>
      <c r="W784" s="238"/>
      <c r="AK784" s="242"/>
      <c r="AM784" s="236"/>
    </row>
    <row r="785" ht="14.25" customHeight="1">
      <c r="B785" s="233"/>
      <c r="D785" s="234"/>
      <c r="H785" s="235"/>
      <c r="K785" s="236"/>
      <c r="L785" s="237"/>
      <c r="M785" s="233"/>
      <c r="N785" s="233"/>
      <c r="O785" s="233"/>
      <c r="P785" s="233"/>
      <c r="Q785" s="233"/>
      <c r="R785" s="233"/>
      <c r="S785" s="233"/>
      <c r="T785" s="237"/>
      <c r="U785" s="233"/>
      <c r="V785" s="238"/>
      <c r="W785" s="238"/>
      <c r="AK785" s="242"/>
      <c r="AM785" s="236"/>
    </row>
    <row r="786" ht="14.25" customHeight="1">
      <c r="B786" s="233"/>
      <c r="D786" s="234"/>
      <c r="H786" s="235"/>
      <c r="K786" s="236"/>
      <c r="L786" s="237"/>
      <c r="M786" s="233"/>
      <c r="N786" s="233"/>
      <c r="O786" s="233"/>
      <c r="P786" s="233"/>
      <c r="Q786" s="233"/>
      <c r="R786" s="233"/>
      <c r="S786" s="233"/>
      <c r="T786" s="237"/>
      <c r="U786" s="233"/>
      <c r="V786" s="238"/>
      <c r="W786" s="238"/>
      <c r="AK786" s="242"/>
      <c r="AM786" s="236"/>
    </row>
    <row r="787" ht="14.25" customHeight="1">
      <c r="B787" s="233"/>
      <c r="D787" s="234"/>
      <c r="H787" s="235"/>
      <c r="K787" s="236"/>
      <c r="L787" s="237"/>
      <c r="M787" s="233"/>
      <c r="N787" s="233"/>
      <c r="O787" s="233"/>
      <c r="P787" s="233"/>
      <c r="Q787" s="233"/>
      <c r="R787" s="233"/>
      <c r="S787" s="233"/>
      <c r="T787" s="237"/>
      <c r="U787" s="233"/>
      <c r="V787" s="238"/>
      <c r="W787" s="238"/>
      <c r="AK787" s="242"/>
      <c r="AM787" s="236"/>
    </row>
    <row r="788" ht="14.25" customHeight="1">
      <c r="B788" s="233"/>
      <c r="D788" s="234"/>
      <c r="H788" s="235"/>
      <c r="K788" s="236"/>
      <c r="L788" s="237"/>
      <c r="M788" s="233"/>
      <c r="N788" s="233"/>
      <c r="O788" s="233"/>
      <c r="P788" s="233"/>
      <c r="Q788" s="233"/>
      <c r="R788" s="233"/>
      <c r="S788" s="233"/>
      <c r="T788" s="237"/>
      <c r="U788" s="233"/>
      <c r="V788" s="238"/>
      <c r="W788" s="238"/>
      <c r="AK788" s="242"/>
      <c r="AM788" s="236"/>
    </row>
    <row r="789" ht="14.25" customHeight="1">
      <c r="B789" s="233"/>
      <c r="D789" s="234"/>
      <c r="H789" s="235"/>
      <c r="K789" s="236"/>
      <c r="L789" s="237"/>
      <c r="M789" s="233"/>
      <c r="N789" s="233"/>
      <c r="O789" s="233"/>
      <c r="P789" s="233"/>
      <c r="Q789" s="233"/>
      <c r="R789" s="233"/>
      <c r="S789" s="233"/>
      <c r="T789" s="237"/>
      <c r="U789" s="233"/>
      <c r="V789" s="238"/>
      <c r="W789" s="238"/>
      <c r="AK789" s="242"/>
      <c r="AM789" s="236"/>
    </row>
    <row r="790" ht="14.25" customHeight="1">
      <c r="B790" s="233"/>
      <c r="D790" s="234"/>
      <c r="H790" s="235"/>
      <c r="K790" s="236"/>
      <c r="L790" s="237"/>
      <c r="M790" s="233"/>
      <c r="N790" s="233"/>
      <c r="O790" s="233"/>
      <c r="P790" s="233"/>
      <c r="Q790" s="233"/>
      <c r="R790" s="233"/>
      <c r="S790" s="233"/>
      <c r="T790" s="237"/>
      <c r="U790" s="233"/>
      <c r="V790" s="238"/>
      <c r="W790" s="238"/>
      <c r="AK790" s="242"/>
      <c r="AM790" s="236"/>
    </row>
    <row r="791" ht="14.25" customHeight="1">
      <c r="B791" s="233"/>
      <c r="D791" s="234"/>
      <c r="H791" s="235"/>
      <c r="K791" s="236"/>
      <c r="L791" s="237"/>
      <c r="M791" s="233"/>
      <c r="N791" s="233"/>
      <c r="O791" s="233"/>
      <c r="P791" s="233"/>
      <c r="Q791" s="233"/>
      <c r="R791" s="233"/>
      <c r="S791" s="233"/>
      <c r="T791" s="237"/>
      <c r="U791" s="233"/>
      <c r="V791" s="238"/>
      <c r="W791" s="238"/>
      <c r="AK791" s="242"/>
      <c r="AM791" s="236"/>
    </row>
    <row r="792" ht="14.25" customHeight="1">
      <c r="B792" s="233"/>
      <c r="D792" s="234"/>
      <c r="H792" s="235"/>
      <c r="K792" s="236"/>
      <c r="L792" s="237"/>
      <c r="M792" s="233"/>
      <c r="N792" s="233"/>
      <c r="O792" s="233"/>
      <c r="P792" s="233"/>
      <c r="Q792" s="233"/>
      <c r="R792" s="233"/>
      <c r="S792" s="233"/>
      <c r="T792" s="237"/>
      <c r="U792" s="233"/>
      <c r="V792" s="238"/>
      <c r="W792" s="238"/>
      <c r="AK792" s="242"/>
      <c r="AM792" s="236"/>
    </row>
    <row r="793" ht="14.25" customHeight="1">
      <c r="B793" s="233"/>
      <c r="D793" s="234"/>
      <c r="H793" s="235"/>
      <c r="K793" s="236"/>
      <c r="L793" s="237"/>
      <c r="M793" s="233"/>
      <c r="N793" s="233"/>
      <c r="O793" s="233"/>
      <c r="P793" s="233"/>
      <c r="Q793" s="233"/>
      <c r="R793" s="233"/>
      <c r="S793" s="233"/>
      <c r="T793" s="237"/>
      <c r="U793" s="233"/>
      <c r="V793" s="238"/>
      <c r="W793" s="238"/>
      <c r="AK793" s="242"/>
      <c r="AM793" s="236"/>
    </row>
    <row r="794" ht="14.25" customHeight="1">
      <c r="B794" s="233"/>
      <c r="D794" s="234"/>
      <c r="H794" s="235"/>
      <c r="K794" s="236"/>
      <c r="L794" s="237"/>
      <c r="M794" s="233"/>
      <c r="N794" s="233"/>
      <c r="O794" s="233"/>
      <c r="P794" s="233"/>
      <c r="Q794" s="233"/>
      <c r="R794" s="233"/>
      <c r="S794" s="233"/>
      <c r="T794" s="237"/>
      <c r="U794" s="233"/>
      <c r="V794" s="238"/>
      <c r="W794" s="238"/>
      <c r="AK794" s="242"/>
      <c r="AM794" s="236"/>
    </row>
    <row r="795" ht="14.25" customHeight="1">
      <c r="B795" s="233"/>
      <c r="D795" s="234"/>
      <c r="H795" s="235"/>
      <c r="K795" s="236"/>
      <c r="L795" s="237"/>
      <c r="M795" s="233"/>
      <c r="N795" s="233"/>
      <c r="O795" s="233"/>
      <c r="P795" s="233"/>
      <c r="Q795" s="233"/>
      <c r="R795" s="233"/>
      <c r="S795" s="233"/>
      <c r="T795" s="237"/>
      <c r="U795" s="233"/>
      <c r="V795" s="238"/>
      <c r="W795" s="238"/>
      <c r="AK795" s="242"/>
      <c r="AM795" s="236"/>
    </row>
    <row r="796" ht="14.25" customHeight="1">
      <c r="B796" s="233"/>
      <c r="D796" s="234"/>
      <c r="H796" s="235"/>
      <c r="K796" s="236"/>
      <c r="L796" s="237"/>
      <c r="M796" s="233"/>
      <c r="N796" s="233"/>
      <c r="O796" s="233"/>
      <c r="P796" s="233"/>
      <c r="Q796" s="233"/>
      <c r="R796" s="233"/>
      <c r="S796" s="233"/>
      <c r="T796" s="237"/>
      <c r="U796" s="233"/>
      <c r="V796" s="238"/>
      <c r="W796" s="238"/>
      <c r="AK796" s="242"/>
      <c r="AM796" s="236"/>
    </row>
    <row r="797" ht="14.25" customHeight="1">
      <c r="B797" s="233"/>
      <c r="D797" s="234"/>
      <c r="H797" s="235"/>
      <c r="K797" s="236"/>
      <c r="L797" s="237"/>
      <c r="M797" s="233"/>
      <c r="N797" s="233"/>
      <c r="O797" s="233"/>
      <c r="P797" s="233"/>
      <c r="Q797" s="233"/>
      <c r="R797" s="233"/>
      <c r="S797" s="233"/>
      <c r="T797" s="237"/>
      <c r="U797" s="233"/>
      <c r="V797" s="238"/>
      <c r="W797" s="238"/>
      <c r="AK797" s="242"/>
      <c r="AM797" s="236"/>
    </row>
    <row r="798" ht="14.25" customHeight="1">
      <c r="B798" s="233"/>
      <c r="D798" s="234"/>
      <c r="H798" s="235"/>
      <c r="K798" s="236"/>
      <c r="L798" s="237"/>
      <c r="M798" s="233"/>
      <c r="N798" s="233"/>
      <c r="O798" s="233"/>
      <c r="P798" s="233"/>
      <c r="Q798" s="233"/>
      <c r="R798" s="233"/>
      <c r="S798" s="233"/>
      <c r="T798" s="237"/>
      <c r="U798" s="233"/>
      <c r="V798" s="238"/>
      <c r="W798" s="238"/>
      <c r="AK798" s="242"/>
      <c r="AM798" s="236"/>
    </row>
    <row r="799" ht="14.25" customHeight="1">
      <c r="B799" s="233"/>
      <c r="D799" s="234"/>
      <c r="H799" s="235"/>
      <c r="K799" s="236"/>
      <c r="L799" s="237"/>
      <c r="M799" s="233"/>
      <c r="N799" s="233"/>
      <c r="O799" s="233"/>
      <c r="P799" s="233"/>
      <c r="Q799" s="233"/>
      <c r="R799" s="233"/>
      <c r="S799" s="233"/>
      <c r="T799" s="237"/>
      <c r="U799" s="233"/>
      <c r="V799" s="238"/>
      <c r="W799" s="238"/>
      <c r="AK799" s="242"/>
      <c r="AM799" s="236"/>
    </row>
    <row r="800" ht="14.25" customHeight="1">
      <c r="B800" s="233"/>
      <c r="D800" s="234"/>
      <c r="H800" s="235"/>
      <c r="K800" s="236"/>
      <c r="L800" s="237"/>
      <c r="M800" s="233"/>
      <c r="N800" s="233"/>
      <c r="O800" s="233"/>
      <c r="P800" s="233"/>
      <c r="Q800" s="233"/>
      <c r="R800" s="233"/>
      <c r="S800" s="233"/>
      <c r="T800" s="237"/>
      <c r="U800" s="233"/>
      <c r="V800" s="238"/>
      <c r="W800" s="238"/>
      <c r="AK800" s="242"/>
      <c r="AM800" s="236"/>
    </row>
    <row r="801" ht="14.25" customHeight="1">
      <c r="B801" s="233"/>
      <c r="D801" s="234"/>
      <c r="H801" s="235"/>
      <c r="K801" s="236"/>
      <c r="L801" s="237"/>
      <c r="M801" s="233"/>
      <c r="N801" s="233"/>
      <c r="O801" s="233"/>
      <c r="P801" s="233"/>
      <c r="Q801" s="233"/>
      <c r="R801" s="233"/>
      <c r="S801" s="233"/>
      <c r="T801" s="237"/>
      <c r="U801" s="233"/>
      <c r="V801" s="238"/>
      <c r="W801" s="238"/>
      <c r="AK801" s="242"/>
      <c r="AM801" s="236"/>
    </row>
    <row r="802" ht="14.25" customHeight="1">
      <c r="B802" s="233"/>
      <c r="D802" s="234"/>
      <c r="H802" s="235"/>
      <c r="K802" s="236"/>
      <c r="L802" s="237"/>
      <c r="M802" s="233"/>
      <c r="N802" s="233"/>
      <c r="O802" s="233"/>
      <c r="P802" s="233"/>
      <c r="Q802" s="233"/>
      <c r="R802" s="233"/>
      <c r="S802" s="233"/>
      <c r="T802" s="237"/>
      <c r="U802" s="233"/>
      <c r="V802" s="238"/>
      <c r="W802" s="238"/>
      <c r="AK802" s="242"/>
      <c r="AM802" s="236"/>
    </row>
    <row r="803" ht="14.25" customHeight="1">
      <c r="B803" s="233"/>
      <c r="D803" s="234"/>
      <c r="H803" s="235"/>
      <c r="K803" s="236"/>
      <c r="L803" s="237"/>
      <c r="M803" s="233"/>
      <c r="N803" s="233"/>
      <c r="O803" s="233"/>
      <c r="P803" s="233"/>
      <c r="Q803" s="233"/>
      <c r="R803" s="233"/>
      <c r="S803" s="233"/>
      <c r="T803" s="237"/>
      <c r="U803" s="233"/>
      <c r="V803" s="238"/>
      <c r="W803" s="238"/>
      <c r="AK803" s="242"/>
      <c r="AM803" s="236"/>
    </row>
    <row r="804" ht="14.25" customHeight="1">
      <c r="B804" s="233"/>
      <c r="D804" s="234"/>
      <c r="H804" s="235"/>
      <c r="K804" s="236"/>
      <c r="L804" s="237"/>
      <c r="M804" s="233"/>
      <c r="N804" s="233"/>
      <c r="O804" s="233"/>
      <c r="P804" s="233"/>
      <c r="Q804" s="233"/>
      <c r="R804" s="233"/>
      <c r="S804" s="233"/>
      <c r="T804" s="237"/>
      <c r="U804" s="233"/>
      <c r="V804" s="238"/>
      <c r="W804" s="238"/>
      <c r="AK804" s="242"/>
      <c r="AM804" s="236"/>
    </row>
    <row r="805" ht="14.25" customHeight="1">
      <c r="B805" s="233"/>
      <c r="D805" s="234"/>
      <c r="H805" s="235"/>
      <c r="K805" s="236"/>
      <c r="L805" s="237"/>
      <c r="M805" s="233"/>
      <c r="N805" s="233"/>
      <c r="O805" s="233"/>
      <c r="P805" s="233"/>
      <c r="Q805" s="233"/>
      <c r="R805" s="233"/>
      <c r="S805" s="233"/>
      <c r="T805" s="237"/>
      <c r="U805" s="233"/>
      <c r="V805" s="238"/>
      <c r="W805" s="238"/>
      <c r="AK805" s="242"/>
      <c r="AM805" s="236"/>
    </row>
    <row r="806" ht="14.25" customHeight="1">
      <c r="B806" s="233"/>
      <c r="D806" s="234"/>
      <c r="H806" s="235"/>
      <c r="K806" s="236"/>
      <c r="L806" s="237"/>
      <c r="M806" s="233"/>
      <c r="N806" s="233"/>
      <c r="O806" s="233"/>
      <c r="P806" s="233"/>
      <c r="Q806" s="233"/>
      <c r="R806" s="233"/>
      <c r="S806" s="233"/>
      <c r="T806" s="237"/>
      <c r="U806" s="233"/>
      <c r="V806" s="238"/>
      <c r="W806" s="238"/>
      <c r="AK806" s="242"/>
      <c r="AM806" s="236"/>
    </row>
    <row r="807" ht="14.25" customHeight="1">
      <c r="B807" s="233"/>
      <c r="D807" s="234"/>
      <c r="H807" s="235"/>
      <c r="K807" s="236"/>
      <c r="L807" s="237"/>
      <c r="M807" s="233"/>
      <c r="N807" s="233"/>
      <c r="O807" s="233"/>
      <c r="P807" s="233"/>
      <c r="Q807" s="233"/>
      <c r="R807" s="233"/>
      <c r="S807" s="233"/>
      <c r="T807" s="237"/>
      <c r="U807" s="233"/>
      <c r="V807" s="238"/>
      <c r="W807" s="238"/>
      <c r="AK807" s="242"/>
      <c r="AM807" s="236"/>
    </row>
    <row r="808" ht="14.25" customHeight="1">
      <c r="B808" s="233"/>
      <c r="D808" s="234"/>
      <c r="H808" s="235"/>
      <c r="K808" s="236"/>
      <c r="L808" s="237"/>
      <c r="M808" s="233"/>
      <c r="N808" s="233"/>
      <c r="O808" s="233"/>
      <c r="P808" s="233"/>
      <c r="Q808" s="233"/>
      <c r="R808" s="233"/>
      <c r="S808" s="233"/>
      <c r="T808" s="237"/>
      <c r="U808" s="233"/>
      <c r="V808" s="238"/>
      <c r="W808" s="238"/>
      <c r="AK808" s="242"/>
      <c r="AM808" s="236"/>
    </row>
    <row r="809" ht="14.25" customHeight="1">
      <c r="B809" s="233"/>
      <c r="D809" s="234"/>
      <c r="H809" s="235"/>
      <c r="K809" s="236"/>
      <c r="L809" s="237"/>
      <c r="M809" s="233"/>
      <c r="N809" s="233"/>
      <c r="O809" s="233"/>
      <c r="P809" s="233"/>
      <c r="Q809" s="233"/>
      <c r="R809" s="233"/>
      <c r="S809" s="233"/>
      <c r="T809" s="237"/>
      <c r="U809" s="233"/>
      <c r="V809" s="238"/>
      <c r="W809" s="238"/>
      <c r="AK809" s="242"/>
      <c r="AM809" s="236"/>
    </row>
    <row r="810" ht="14.25" customHeight="1">
      <c r="B810" s="233"/>
      <c r="D810" s="234"/>
      <c r="H810" s="235"/>
      <c r="K810" s="236"/>
      <c r="L810" s="237"/>
      <c r="M810" s="233"/>
      <c r="N810" s="233"/>
      <c r="O810" s="233"/>
      <c r="P810" s="233"/>
      <c r="Q810" s="233"/>
      <c r="R810" s="233"/>
      <c r="S810" s="233"/>
      <c r="T810" s="237"/>
      <c r="U810" s="233"/>
      <c r="V810" s="238"/>
      <c r="W810" s="238"/>
      <c r="AK810" s="242"/>
      <c r="AM810" s="236"/>
    </row>
    <row r="811" ht="14.25" customHeight="1">
      <c r="B811" s="233"/>
      <c r="D811" s="234"/>
      <c r="H811" s="235"/>
      <c r="K811" s="236"/>
      <c r="L811" s="237"/>
      <c r="M811" s="233"/>
      <c r="N811" s="233"/>
      <c r="O811" s="233"/>
      <c r="P811" s="233"/>
      <c r="Q811" s="233"/>
      <c r="R811" s="233"/>
      <c r="S811" s="233"/>
      <c r="T811" s="237"/>
      <c r="U811" s="233"/>
      <c r="V811" s="238"/>
      <c r="W811" s="238"/>
      <c r="AK811" s="242"/>
      <c r="AM811" s="236"/>
    </row>
    <row r="812" ht="14.25" customHeight="1">
      <c r="B812" s="233"/>
      <c r="D812" s="234"/>
      <c r="H812" s="235"/>
      <c r="K812" s="236"/>
      <c r="L812" s="237"/>
      <c r="M812" s="233"/>
      <c r="N812" s="233"/>
      <c r="O812" s="233"/>
      <c r="P812" s="233"/>
      <c r="Q812" s="233"/>
      <c r="R812" s="233"/>
      <c r="S812" s="233"/>
      <c r="T812" s="237"/>
      <c r="U812" s="233"/>
      <c r="V812" s="238"/>
      <c r="W812" s="238"/>
      <c r="AK812" s="242"/>
      <c r="AM812" s="236"/>
    </row>
    <row r="813" ht="14.25" customHeight="1">
      <c r="B813" s="233"/>
      <c r="D813" s="234"/>
      <c r="H813" s="235"/>
      <c r="K813" s="236"/>
      <c r="L813" s="237"/>
      <c r="M813" s="233"/>
      <c r="N813" s="233"/>
      <c r="O813" s="233"/>
      <c r="P813" s="233"/>
      <c r="Q813" s="233"/>
      <c r="R813" s="233"/>
      <c r="S813" s="233"/>
      <c r="T813" s="237"/>
      <c r="U813" s="233"/>
      <c r="V813" s="238"/>
      <c r="W813" s="238"/>
      <c r="AK813" s="242"/>
      <c r="AM813" s="236"/>
    </row>
    <row r="814" ht="14.25" customHeight="1">
      <c r="B814" s="233"/>
      <c r="D814" s="234"/>
      <c r="H814" s="235"/>
      <c r="K814" s="236"/>
      <c r="L814" s="237"/>
      <c r="M814" s="233"/>
      <c r="N814" s="233"/>
      <c r="O814" s="233"/>
      <c r="P814" s="233"/>
      <c r="Q814" s="233"/>
      <c r="R814" s="233"/>
      <c r="S814" s="233"/>
      <c r="T814" s="237"/>
      <c r="U814" s="233"/>
      <c r="V814" s="238"/>
      <c r="W814" s="238"/>
      <c r="AK814" s="242"/>
      <c r="AM814" s="236"/>
    </row>
    <row r="815" ht="14.25" customHeight="1">
      <c r="B815" s="233"/>
      <c r="D815" s="234"/>
      <c r="H815" s="235"/>
      <c r="K815" s="236"/>
      <c r="L815" s="237"/>
      <c r="M815" s="233"/>
      <c r="N815" s="233"/>
      <c r="O815" s="233"/>
      <c r="P815" s="233"/>
      <c r="Q815" s="233"/>
      <c r="R815" s="233"/>
      <c r="S815" s="233"/>
      <c r="T815" s="237"/>
      <c r="U815" s="233"/>
      <c r="V815" s="238"/>
      <c r="W815" s="238"/>
      <c r="AK815" s="242"/>
      <c r="AM815" s="236"/>
    </row>
    <row r="816" ht="14.25" customHeight="1">
      <c r="B816" s="233"/>
      <c r="D816" s="234"/>
      <c r="H816" s="235"/>
      <c r="K816" s="236"/>
      <c r="L816" s="237"/>
      <c r="M816" s="233"/>
      <c r="N816" s="233"/>
      <c r="O816" s="233"/>
      <c r="P816" s="233"/>
      <c r="Q816" s="233"/>
      <c r="R816" s="233"/>
      <c r="S816" s="233"/>
      <c r="T816" s="237"/>
      <c r="U816" s="233"/>
      <c r="V816" s="238"/>
      <c r="W816" s="238"/>
      <c r="AK816" s="242"/>
      <c r="AM816" s="236"/>
    </row>
    <row r="817" ht="14.25" customHeight="1">
      <c r="B817" s="233"/>
      <c r="D817" s="234"/>
      <c r="H817" s="235"/>
      <c r="K817" s="236"/>
      <c r="L817" s="237"/>
      <c r="M817" s="233"/>
      <c r="N817" s="233"/>
      <c r="O817" s="233"/>
      <c r="P817" s="233"/>
      <c r="Q817" s="233"/>
      <c r="R817" s="233"/>
      <c r="S817" s="233"/>
      <c r="T817" s="237"/>
      <c r="U817" s="233"/>
      <c r="V817" s="238"/>
      <c r="W817" s="238"/>
      <c r="AK817" s="242"/>
      <c r="AM817" s="236"/>
    </row>
    <row r="818" ht="14.25" customHeight="1">
      <c r="B818" s="233"/>
      <c r="D818" s="234"/>
      <c r="H818" s="235"/>
      <c r="K818" s="236"/>
      <c r="L818" s="237"/>
      <c r="M818" s="233"/>
      <c r="N818" s="233"/>
      <c r="O818" s="233"/>
      <c r="P818" s="233"/>
      <c r="Q818" s="233"/>
      <c r="R818" s="233"/>
      <c r="S818" s="233"/>
      <c r="T818" s="237"/>
      <c r="U818" s="233"/>
      <c r="V818" s="238"/>
      <c r="W818" s="238"/>
      <c r="AK818" s="242"/>
      <c r="AM818" s="236"/>
    </row>
    <row r="819" ht="14.25" customHeight="1">
      <c r="B819" s="233"/>
      <c r="D819" s="234"/>
      <c r="H819" s="235"/>
      <c r="K819" s="236"/>
      <c r="L819" s="237"/>
      <c r="M819" s="233"/>
      <c r="N819" s="233"/>
      <c r="O819" s="233"/>
      <c r="P819" s="233"/>
      <c r="Q819" s="233"/>
      <c r="R819" s="233"/>
      <c r="S819" s="233"/>
      <c r="T819" s="237"/>
      <c r="U819" s="233"/>
      <c r="V819" s="238"/>
      <c r="W819" s="238"/>
      <c r="AK819" s="242"/>
      <c r="AM819" s="236"/>
    </row>
    <row r="820" ht="14.25" customHeight="1">
      <c r="B820" s="233"/>
      <c r="D820" s="234"/>
      <c r="H820" s="235"/>
      <c r="K820" s="236"/>
      <c r="L820" s="237"/>
      <c r="M820" s="233"/>
      <c r="N820" s="233"/>
      <c r="O820" s="233"/>
      <c r="P820" s="233"/>
      <c r="Q820" s="233"/>
      <c r="R820" s="233"/>
      <c r="S820" s="233"/>
      <c r="T820" s="237"/>
      <c r="U820" s="233"/>
      <c r="V820" s="238"/>
      <c r="W820" s="238"/>
      <c r="AK820" s="242"/>
      <c r="AM820" s="236"/>
    </row>
    <row r="821" ht="14.25" customHeight="1">
      <c r="B821" s="233"/>
      <c r="D821" s="234"/>
      <c r="H821" s="235"/>
      <c r="K821" s="236"/>
      <c r="L821" s="237"/>
      <c r="M821" s="233"/>
      <c r="N821" s="233"/>
      <c r="O821" s="233"/>
      <c r="P821" s="233"/>
      <c r="Q821" s="233"/>
      <c r="R821" s="233"/>
      <c r="S821" s="233"/>
      <c r="T821" s="237"/>
      <c r="U821" s="233"/>
      <c r="V821" s="238"/>
      <c r="W821" s="238"/>
      <c r="AK821" s="242"/>
      <c r="AM821" s="236"/>
    </row>
    <row r="822" ht="14.25" customHeight="1">
      <c r="B822" s="233"/>
      <c r="D822" s="234"/>
      <c r="H822" s="235"/>
      <c r="K822" s="236"/>
      <c r="L822" s="237"/>
      <c r="M822" s="233"/>
      <c r="N822" s="233"/>
      <c r="O822" s="233"/>
      <c r="P822" s="233"/>
      <c r="Q822" s="233"/>
      <c r="R822" s="233"/>
      <c r="S822" s="233"/>
      <c r="T822" s="237"/>
      <c r="U822" s="233"/>
      <c r="V822" s="238"/>
      <c r="W822" s="238"/>
      <c r="AK822" s="242"/>
      <c r="AM822" s="236"/>
    </row>
    <row r="823" ht="14.25" customHeight="1">
      <c r="B823" s="233"/>
      <c r="D823" s="234"/>
      <c r="H823" s="235"/>
      <c r="K823" s="236"/>
      <c r="L823" s="237"/>
      <c r="M823" s="233"/>
      <c r="N823" s="233"/>
      <c r="O823" s="233"/>
      <c r="P823" s="233"/>
      <c r="Q823" s="233"/>
      <c r="R823" s="233"/>
      <c r="S823" s="233"/>
      <c r="T823" s="237"/>
      <c r="U823" s="233"/>
      <c r="V823" s="238"/>
      <c r="W823" s="238"/>
      <c r="AK823" s="242"/>
      <c r="AM823" s="236"/>
    </row>
    <row r="824" ht="14.25" customHeight="1">
      <c r="B824" s="233"/>
      <c r="D824" s="234"/>
      <c r="H824" s="235"/>
      <c r="K824" s="236"/>
      <c r="L824" s="237"/>
      <c r="M824" s="233"/>
      <c r="N824" s="233"/>
      <c r="O824" s="233"/>
      <c r="P824" s="233"/>
      <c r="Q824" s="233"/>
      <c r="R824" s="233"/>
      <c r="S824" s="233"/>
      <c r="T824" s="237"/>
      <c r="U824" s="233"/>
      <c r="V824" s="238"/>
      <c r="W824" s="238"/>
      <c r="AK824" s="242"/>
      <c r="AM824" s="236"/>
    </row>
    <row r="825" ht="14.25" customHeight="1">
      <c r="B825" s="233"/>
      <c r="D825" s="234"/>
      <c r="H825" s="235"/>
      <c r="K825" s="236"/>
      <c r="L825" s="237"/>
      <c r="M825" s="233"/>
      <c r="N825" s="233"/>
      <c r="O825" s="233"/>
      <c r="P825" s="233"/>
      <c r="Q825" s="233"/>
      <c r="R825" s="233"/>
      <c r="S825" s="233"/>
      <c r="T825" s="237"/>
      <c r="U825" s="233"/>
      <c r="V825" s="238"/>
      <c r="W825" s="238"/>
      <c r="AK825" s="242"/>
      <c r="AM825" s="236"/>
    </row>
    <row r="826" ht="14.25" customHeight="1">
      <c r="B826" s="233"/>
      <c r="D826" s="234"/>
      <c r="H826" s="235"/>
      <c r="K826" s="236"/>
      <c r="L826" s="237"/>
      <c r="M826" s="233"/>
      <c r="N826" s="233"/>
      <c r="O826" s="233"/>
      <c r="P826" s="233"/>
      <c r="Q826" s="233"/>
      <c r="R826" s="233"/>
      <c r="S826" s="233"/>
      <c r="T826" s="237"/>
      <c r="U826" s="233"/>
      <c r="V826" s="238"/>
      <c r="W826" s="238"/>
      <c r="AK826" s="242"/>
      <c r="AM826" s="236"/>
    </row>
    <row r="827" ht="14.25" customHeight="1">
      <c r="B827" s="233"/>
      <c r="D827" s="234"/>
      <c r="H827" s="235"/>
      <c r="K827" s="236"/>
      <c r="L827" s="237"/>
      <c r="M827" s="233"/>
      <c r="N827" s="233"/>
      <c r="O827" s="233"/>
      <c r="P827" s="233"/>
      <c r="Q827" s="233"/>
      <c r="R827" s="233"/>
      <c r="S827" s="233"/>
      <c r="T827" s="237"/>
      <c r="U827" s="233"/>
      <c r="V827" s="238"/>
      <c r="W827" s="238"/>
      <c r="AK827" s="242"/>
      <c r="AM827" s="236"/>
    </row>
    <row r="828" ht="14.25" customHeight="1">
      <c r="B828" s="233"/>
      <c r="D828" s="234"/>
      <c r="H828" s="235"/>
      <c r="K828" s="236"/>
      <c r="L828" s="237"/>
      <c r="M828" s="233"/>
      <c r="N828" s="233"/>
      <c r="O828" s="233"/>
      <c r="P828" s="233"/>
      <c r="Q828" s="233"/>
      <c r="R828" s="233"/>
      <c r="S828" s="233"/>
      <c r="T828" s="237"/>
      <c r="U828" s="233"/>
      <c r="V828" s="238"/>
      <c r="W828" s="238"/>
      <c r="AK828" s="242"/>
      <c r="AM828" s="236"/>
    </row>
    <row r="829" ht="14.25" customHeight="1">
      <c r="B829" s="233"/>
      <c r="D829" s="234"/>
      <c r="H829" s="235"/>
      <c r="K829" s="236"/>
      <c r="L829" s="237"/>
      <c r="M829" s="233"/>
      <c r="N829" s="233"/>
      <c r="O829" s="233"/>
      <c r="P829" s="233"/>
      <c r="Q829" s="233"/>
      <c r="R829" s="233"/>
      <c r="S829" s="233"/>
      <c r="T829" s="237"/>
      <c r="U829" s="233"/>
      <c r="V829" s="238"/>
      <c r="W829" s="238"/>
      <c r="AK829" s="242"/>
      <c r="AM829" s="236"/>
    </row>
    <row r="830" ht="14.25" customHeight="1">
      <c r="B830" s="233"/>
      <c r="D830" s="234"/>
      <c r="H830" s="235"/>
      <c r="K830" s="236"/>
      <c r="L830" s="237"/>
      <c r="M830" s="233"/>
      <c r="N830" s="233"/>
      <c r="O830" s="233"/>
      <c r="P830" s="233"/>
      <c r="Q830" s="233"/>
      <c r="R830" s="233"/>
      <c r="S830" s="233"/>
      <c r="T830" s="237"/>
      <c r="U830" s="233"/>
      <c r="V830" s="238"/>
      <c r="W830" s="238"/>
      <c r="AK830" s="242"/>
      <c r="AM830" s="236"/>
    </row>
    <row r="831" ht="14.25" customHeight="1">
      <c r="B831" s="233"/>
      <c r="D831" s="234"/>
      <c r="H831" s="235"/>
      <c r="K831" s="236"/>
      <c r="L831" s="237"/>
      <c r="M831" s="233"/>
      <c r="N831" s="233"/>
      <c r="O831" s="233"/>
      <c r="P831" s="233"/>
      <c r="Q831" s="233"/>
      <c r="R831" s="233"/>
      <c r="S831" s="233"/>
      <c r="T831" s="237"/>
      <c r="U831" s="233"/>
      <c r="V831" s="238"/>
      <c r="W831" s="238"/>
      <c r="AK831" s="242"/>
      <c r="AM831" s="236"/>
    </row>
    <row r="832" ht="14.25" customHeight="1">
      <c r="B832" s="233"/>
      <c r="D832" s="234"/>
      <c r="H832" s="235"/>
      <c r="K832" s="236"/>
      <c r="L832" s="237"/>
      <c r="M832" s="233"/>
      <c r="N832" s="233"/>
      <c r="O832" s="233"/>
      <c r="P832" s="233"/>
      <c r="Q832" s="233"/>
      <c r="R832" s="233"/>
      <c r="S832" s="233"/>
      <c r="T832" s="237"/>
      <c r="U832" s="233"/>
      <c r="V832" s="238"/>
      <c r="W832" s="238"/>
      <c r="AK832" s="242"/>
      <c r="AM832" s="236"/>
    </row>
    <row r="833" ht="14.25" customHeight="1">
      <c r="B833" s="233"/>
      <c r="D833" s="234"/>
      <c r="H833" s="235"/>
      <c r="K833" s="236"/>
      <c r="L833" s="237"/>
      <c r="M833" s="233"/>
      <c r="N833" s="233"/>
      <c r="O833" s="233"/>
      <c r="P833" s="233"/>
      <c r="Q833" s="233"/>
      <c r="R833" s="233"/>
      <c r="S833" s="233"/>
      <c r="T833" s="237"/>
      <c r="U833" s="233"/>
      <c r="V833" s="238"/>
      <c r="W833" s="238"/>
      <c r="AK833" s="242"/>
      <c r="AM833" s="236"/>
    </row>
    <row r="834" ht="14.25" customHeight="1">
      <c r="B834" s="233"/>
      <c r="D834" s="234"/>
      <c r="H834" s="235"/>
      <c r="K834" s="236"/>
      <c r="L834" s="237"/>
      <c r="M834" s="233"/>
      <c r="N834" s="233"/>
      <c r="O834" s="233"/>
      <c r="P834" s="233"/>
      <c r="Q834" s="233"/>
      <c r="R834" s="233"/>
      <c r="S834" s="233"/>
      <c r="T834" s="237"/>
      <c r="U834" s="233"/>
      <c r="V834" s="238"/>
      <c r="W834" s="238"/>
      <c r="AK834" s="242"/>
      <c r="AM834" s="236"/>
    </row>
    <row r="835" ht="14.25" customHeight="1">
      <c r="B835" s="233"/>
      <c r="D835" s="234"/>
      <c r="H835" s="235"/>
      <c r="K835" s="236"/>
      <c r="L835" s="237"/>
      <c r="M835" s="233"/>
      <c r="N835" s="233"/>
      <c r="O835" s="233"/>
      <c r="P835" s="233"/>
      <c r="Q835" s="233"/>
      <c r="R835" s="233"/>
      <c r="S835" s="233"/>
      <c r="T835" s="237"/>
      <c r="U835" s="233"/>
      <c r="V835" s="238"/>
      <c r="W835" s="238"/>
      <c r="AK835" s="242"/>
      <c r="AM835" s="236"/>
    </row>
    <row r="836" ht="14.25" customHeight="1">
      <c r="B836" s="233"/>
      <c r="D836" s="234"/>
      <c r="H836" s="235"/>
      <c r="K836" s="236"/>
      <c r="L836" s="237"/>
      <c r="M836" s="233"/>
      <c r="N836" s="233"/>
      <c r="O836" s="233"/>
      <c r="P836" s="233"/>
      <c r="Q836" s="233"/>
      <c r="R836" s="233"/>
      <c r="S836" s="233"/>
      <c r="T836" s="237"/>
      <c r="U836" s="233"/>
      <c r="V836" s="238"/>
      <c r="W836" s="238"/>
      <c r="AK836" s="242"/>
      <c r="AM836" s="236"/>
    </row>
    <row r="837" ht="14.25" customHeight="1">
      <c r="B837" s="233"/>
      <c r="D837" s="234"/>
      <c r="H837" s="235"/>
      <c r="K837" s="236"/>
      <c r="L837" s="237"/>
      <c r="M837" s="233"/>
      <c r="N837" s="233"/>
      <c r="O837" s="233"/>
      <c r="P837" s="233"/>
      <c r="Q837" s="233"/>
      <c r="R837" s="233"/>
      <c r="S837" s="233"/>
      <c r="T837" s="237"/>
      <c r="U837" s="233"/>
      <c r="V837" s="238"/>
      <c r="W837" s="238"/>
      <c r="AK837" s="242"/>
      <c r="AM837" s="236"/>
    </row>
    <row r="838" ht="14.25" customHeight="1">
      <c r="B838" s="233"/>
      <c r="D838" s="234"/>
      <c r="H838" s="235"/>
      <c r="K838" s="236"/>
      <c r="L838" s="237"/>
      <c r="M838" s="233"/>
      <c r="N838" s="233"/>
      <c r="O838" s="233"/>
      <c r="P838" s="233"/>
      <c r="Q838" s="233"/>
      <c r="R838" s="233"/>
      <c r="S838" s="233"/>
      <c r="T838" s="237"/>
      <c r="U838" s="233"/>
      <c r="V838" s="238"/>
      <c r="W838" s="238"/>
      <c r="AK838" s="242"/>
      <c r="AM838" s="236"/>
    </row>
    <row r="839" ht="14.25" customHeight="1">
      <c r="B839" s="233"/>
      <c r="D839" s="234"/>
      <c r="H839" s="235"/>
      <c r="K839" s="236"/>
      <c r="L839" s="237"/>
      <c r="M839" s="233"/>
      <c r="N839" s="233"/>
      <c r="O839" s="233"/>
      <c r="P839" s="233"/>
      <c r="Q839" s="233"/>
      <c r="R839" s="233"/>
      <c r="S839" s="233"/>
      <c r="T839" s="237"/>
      <c r="U839" s="233"/>
      <c r="V839" s="238"/>
      <c r="W839" s="238"/>
      <c r="AK839" s="242"/>
      <c r="AM839" s="236"/>
    </row>
    <row r="840" ht="14.25" customHeight="1">
      <c r="B840" s="233"/>
      <c r="D840" s="234"/>
      <c r="H840" s="235"/>
      <c r="K840" s="236"/>
      <c r="L840" s="237"/>
      <c r="M840" s="233"/>
      <c r="N840" s="233"/>
      <c r="O840" s="233"/>
      <c r="P840" s="233"/>
      <c r="Q840" s="233"/>
      <c r="R840" s="233"/>
      <c r="S840" s="233"/>
      <c r="T840" s="237"/>
      <c r="U840" s="233"/>
      <c r="V840" s="238"/>
      <c r="W840" s="238"/>
      <c r="AK840" s="242"/>
      <c r="AM840" s="236"/>
    </row>
    <row r="841" ht="14.25" customHeight="1">
      <c r="B841" s="233"/>
      <c r="D841" s="234"/>
      <c r="H841" s="235"/>
      <c r="K841" s="236"/>
      <c r="L841" s="237"/>
      <c r="M841" s="233"/>
      <c r="N841" s="233"/>
      <c r="O841" s="233"/>
      <c r="P841" s="233"/>
      <c r="Q841" s="233"/>
      <c r="R841" s="233"/>
      <c r="S841" s="233"/>
      <c r="T841" s="237"/>
      <c r="U841" s="233"/>
      <c r="V841" s="238"/>
      <c r="W841" s="238"/>
      <c r="AK841" s="242"/>
      <c r="AM841" s="236"/>
    </row>
    <row r="842" ht="14.25" customHeight="1">
      <c r="B842" s="233"/>
      <c r="D842" s="234"/>
      <c r="H842" s="235"/>
      <c r="K842" s="236"/>
      <c r="L842" s="237"/>
      <c r="M842" s="233"/>
      <c r="N842" s="233"/>
      <c r="O842" s="233"/>
      <c r="P842" s="233"/>
      <c r="Q842" s="233"/>
      <c r="R842" s="233"/>
      <c r="S842" s="233"/>
      <c r="T842" s="237"/>
      <c r="U842" s="233"/>
      <c r="V842" s="238"/>
      <c r="W842" s="238"/>
      <c r="AK842" s="242"/>
      <c r="AM842" s="236"/>
    </row>
    <row r="843" ht="14.25" customHeight="1">
      <c r="B843" s="233"/>
      <c r="D843" s="234"/>
      <c r="H843" s="235"/>
      <c r="K843" s="236"/>
      <c r="L843" s="237"/>
      <c r="M843" s="233"/>
      <c r="N843" s="233"/>
      <c r="O843" s="233"/>
      <c r="P843" s="233"/>
      <c r="Q843" s="233"/>
      <c r="R843" s="233"/>
      <c r="S843" s="233"/>
      <c r="T843" s="237"/>
      <c r="U843" s="233"/>
      <c r="V843" s="238"/>
      <c r="W843" s="238"/>
      <c r="AK843" s="242"/>
      <c r="AM843" s="236"/>
    </row>
    <row r="844" ht="14.25" customHeight="1">
      <c r="B844" s="233"/>
      <c r="D844" s="234"/>
      <c r="H844" s="235"/>
      <c r="K844" s="236"/>
      <c r="L844" s="237"/>
      <c r="M844" s="233"/>
      <c r="N844" s="233"/>
      <c r="O844" s="233"/>
      <c r="P844" s="233"/>
      <c r="Q844" s="233"/>
      <c r="R844" s="233"/>
      <c r="S844" s="233"/>
      <c r="T844" s="237"/>
      <c r="U844" s="233"/>
      <c r="V844" s="238"/>
      <c r="W844" s="238"/>
      <c r="AK844" s="242"/>
      <c r="AM844" s="236"/>
    </row>
    <row r="845" ht="14.25" customHeight="1">
      <c r="B845" s="233"/>
      <c r="D845" s="234"/>
      <c r="H845" s="235"/>
      <c r="K845" s="236"/>
      <c r="L845" s="237"/>
      <c r="M845" s="233"/>
      <c r="N845" s="233"/>
      <c r="O845" s="233"/>
      <c r="P845" s="233"/>
      <c r="Q845" s="233"/>
      <c r="R845" s="233"/>
      <c r="S845" s="233"/>
      <c r="T845" s="237"/>
      <c r="U845" s="233"/>
      <c r="V845" s="238"/>
      <c r="W845" s="238"/>
      <c r="AK845" s="242"/>
      <c r="AM845" s="236"/>
    </row>
    <row r="846" ht="14.25" customHeight="1">
      <c r="B846" s="233"/>
      <c r="D846" s="234"/>
      <c r="H846" s="235"/>
      <c r="K846" s="236"/>
      <c r="L846" s="237"/>
      <c r="M846" s="233"/>
      <c r="N846" s="233"/>
      <c r="O846" s="233"/>
      <c r="P846" s="233"/>
      <c r="Q846" s="233"/>
      <c r="R846" s="233"/>
      <c r="S846" s="233"/>
      <c r="T846" s="237"/>
      <c r="U846" s="233"/>
      <c r="V846" s="238"/>
      <c r="W846" s="238"/>
      <c r="AK846" s="242"/>
      <c r="AM846" s="236"/>
    </row>
    <row r="847" ht="14.25" customHeight="1">
      <c r="B847" s="233"/>
      <c r="D847" s="234"/>
      <c r="H847" s="235"/>
      <c r="K847" s="236"/>
      <c r="L847" s="237"/>
      <c r="M847" s="233"/>
      <c r="N847" s="233"/>
      <c r="O847" s="233"/>
      <c r="P847" s="233"/>
      <c r="Q847" s="233"/>
      <c r="R847" s="233"/>
      <c r="S847" s="233"/>
      <c r="T847" s="237"/>
      <c r="U847" s="233"/>
      <c r="V847" s="238"/>
      <c r="W847" s="238"/>
      <c r="AK847" s="242"/>
      <c r="AM847" s="236"/>
    </row>
    <row r="848" ht="14.25" customHeight="1">
      <c r="B848" s="233"/>
      <c r="D848" s="234"/>
      <c r="H848" s="235"/>
      <c r="K848" s="236"/>
      <c r="L848" s="237"/>
      <c r="M848" s="233"/>
      <c r="N848" s="233"/>
      <c r="O848" s="233"/>
      <c r="P848" s="233"/>
      <c r="Q848" s="233"/>
      <c r="R848" s="233"/>
      <c r="S848" s="233"/>
      <c r="T848" s="237"/>
      <c r="U848" s="233"/>
      <c r="V848" s="238"/>
      <c r="W848" s="238"/>
      <c r="AK848" s="242"/>
      <c r="AM848" s="236"/>
    </row>
    <row r="849" ht="14.25" customHeight="1">
      <c r="B849" s="233"/>
      <c r="D849" s="234"/>
      <c r="H849" s="235"/>
      <c r="K849" s="236"/>
      <c r="L849" s="237"/>
      <c r="M849" s="233"/>
      <c r="N849" s="233"/>
      <c r="O849" s="233"/>
      <c r="P849" s="233"/>
      <c r="Q849" s="233"/>
      <c r="R849" s="233"/>
      <c r="S849" s="233"/>
      <c r="T849" s="237"/>
      <c r="U849" s="233"/>
      <c r="V849" s="238"/>
      <c r="W849" s="238"/>
      <c r="AK849" s="242"/>
      <c r="AM849" s="236"/>
    </row>
    <row r="850" ht="14.25" customHeight="1">
      <c r="B850" s="233"/>
      <c r="D850" s="234"/>
      <c r="H850" s="235"/>
      <c r="K850" s="236"/>
      <c r="L850" s="237"/>
      <c r="M850" s="233"/>
      <c r="N850" s="233"/>
      <c r="O850" s="233"/>
      <c r="P850" s="233"/>
      <c r="Q850" s="233"/>
      <c r="R850" s="233"/>
      <c r="S850" s="233"/>
      <c r="T850" s="237"/>
      <c r="U850" s="233"/>
      <c r="V850" s="238"/>
      <c r="W850" s="238"/>
      <c r="AK850" s="242"/>
      <c r="AM850" s="236"/>
    </row>
    <row r="851" ht="14.25" customHeight="1">
      <c r="B851" s="233"/>
      <c r="D851" s="234"/>
      <c r="H851" s="235"/>
      <c r="K851" s="236"/>
      <c r="L851" s="237"/>
      <c r="M851" s="233"/>
      <c r="N851" s="233"/>
      <c r="O851" s="233"/>
      <c r="P851" s="233"/>
      <c r="Q851" s="233"/>
      <c r="R851" s="233"/>
      <c r="S851" s="233"/>
      <c r="T851" s="237"/>
      <c r="U851" s="233"/>
      <c r="V851" s="238"/>
      <c r="W851" s="238"/>
      <c r="AK851" s="242"/>
      <c r="AM851" s="236"/>
    </row>
    <row r="852" ht="14.25" customHeight="1">
      <c r="B852" s="233"/>
      <c r="D852" s="234"/>
      <c r="H852" s="235"/>
      <c r="K852" s="236"/>
      <c r="L852" s="237"/>
      <c r="M852" s="233"/>
      <c r="N852" s="233"/>
      <c r="O852" s="233"/>
      <c r="P852" s="233"/>
      <c r="Q852" s="233"/>
      <c r="R852" s="233"/>
      <c r="S852" s="233"/>
      <c r="T852" s="237"/>
      <c r="U852" s="233"/>
      <c r="V852" s="238"/>
      <c r="W852" s="238"/>
      <c r="AK852" s="242"/>
      <c r="AM852" s="236"/>
    </row>
    <row r="853" ht="14.25" customHeight="1">
      <c r="B853" s="233"/>
      <c r="D853" s="234"/>
      <c r="H853" s="235"/>
      <c r="K853" s="236"/>
      <c r="L853" s="237"/>
      <c r="M853" s="233"/>
      <c r="N853" s="233"/>
      <c r="O853" s="233"/>
      <c r="P853" s="233"/>
      <c r="Q853" s="233"/>
      <c r="R853" s="233"/>
      <c r="S853" s="233"/>
      <c r="T853" s="237"/>
      <c r="U853" s="233"/>
      <c r="V853" s="238"/>
      <c r="W853" s="238"/>
      <c r="AK853" s="242"/>
      <c r="AM853" s="236"/>
    </row>
    <row r="854" ht="14.25" customHeight="1">
      <c r="B854" s="233"/>
      <c r="D854" s="234"/>
      <c r="H854" s="235"/>
      <c r="K854" s="236"/>
      <c r="L854" s="237"/>
      <c r="M854" s="233"/>
      <c r="N854" s="233"/>
      <c r="O854" s="233"/>
      <c r="P854" s="233"/>
      <c r="Q854" s="233"/>
      <c r="R854" s="233"/>
      <c r="S854" s="233"/>
      <c r="T854" s="237"/>
      <c r="U854" s="233"/>
      <c r="V854" s="238"/>
      <c r="W854" s="238"/>
      <c r="AK854" s="242"/>
      <c r="AM854" s="236"/>
    </row>
    <row r="855" ht="14.25" customHeight="1">
      <c r="B855" s="233"/>
      <c r="D855" s="234"/>
      <c r="H855" s="235"/>
      <c r="K855" s="236"/>
      <c r="L855" s="237"/>
      <c r="M855" s="233"/>
      <c r="N855" s="233"/>
      <c r="O855" s="233"/>
      <c r="P855" s="233"/>
      <c r="Q855" s="233"/>
      <c r="R855" s="233"/>
      <c r="S855" s="233"/>
      <c r="T855" s="237"/>
      <c r="U855" s="233"/>
      <c r="V855" s="238"/>
      <c r="W855" s="238"/>
      <c r="AK855" s="242"/>
      <c r="AM855" s="236"/>
    </row>
    <row r="856" ht="14.25" customHeight="1">
      <c r="B856" s="233"/>
      <c r="D856" s="234"/>
      <c r="H856" s="235"/>
      <c r="K856" s="236"/>
      <c r="L856" s="237"/>
      <c r="M856" s="233"/>
      <c r="N856" s="233"/>
      <c r="O856" s="233"/>
      <c r="P856" s="233"/>
      <c r="Q856" s="233"/>
      <c r="R856" s="233"/>
      <c r="S856" s="233"/>
      <c r="T856" s="237"/>
      <c r="U856" s="233"/>
      <c r="V856" s="238"/>
      <c r="W856" s="238"/>
      <c r="AK856" s="242"/>
      <c r="AM856" s="236"/>
    </row>
    <row r="857" ht="14.25" customHeight="1">
      <c r="B857" s="233"/>
      <c r="D857" s="234"/>
      <c r="H857" s="235"/>
      <c r="K857" s="236"/>
      <c r="L857" s="237"/>
      <c r="M857" s="233"/>
      <c r="N857" s="233"/>
      <c r="O857" s="233"/>
      <c r="P857" s="233"/>
      <c r="Q857" s="233"/>
      <c r="R857" s="233"/>
      <c r="S857" s="233"/>
      <c r="T857" s="237"/>
      <c r="U857" s="233"/>
      <c r="V857" s="238"/>
      <c r="W857" s="238"/>
      <c r="AK857" s="242"/>
      <c r="AM857" s="236"/>
    </row>
    <row r="858" ht="14.25" customHeight="1">
      <c r="B858" s="233"/>
      <c r="D858" s="234"/>
      <c r="H858" s="235"/>
      <c r="K858" s="236"/>
      <c r="L858" s="237"/>
      <c r="M858" s="233"/>
      <c r="N858" s="233"/>
      <c r="O858" s="233"/>
      <c r="P858" s="233"/>
      <c r="Q858" s="233"/>
      <c r="R858" s="233"/>
      <c r="S858" s="233"/>
      <c r="T858" s="237"/>
      <c r="U858" s="233"/>
      <c r="V858" s="238"/>
      <c r="W858" s="238"/>
      <c r="AK858" s="242"/>
      <c r="AM858" s="236"/>
    </row>
    <row r="859" ht="14.25" customHeight="1">
      <c r="B859" s="233"/>
      <c r="D859" s="234"/>
      <c r="H859" s="235"/>
      <c r="K859" s="236"/>
      <c r="L859" s="237"/>
      <c r="M859" s="233"/>
      <c r="N859" s="233"/>
      <c r="O859" s="233"/>
      <c r="P859" s="233"/>
      <c r="Q859" s="233"/>
      <c r="R859" s="233"/>
      <c r="S859" s="233"/>
      <c r="T859" s="237"/>
      <c r="U859" s="233"/>
      <c r="V859" s="238"/>
      <c r="W859" s="238"/>
      <c r="AK859" s="242"/>
      <c r="AM859" s="236"/>
    </row>
    <row r="860" ht="14.25" customHeight="1">
      <c r="B860" s="233"/>
      <c r="D860" s="234"/>
      <c r="H860" s="235"/>
      <c r="K860" s="236"/>
      <c r="L860" s="237"/>
      <c r="M860" s="233"/>
      <c r="N860" s="233"/>
      <c r="O860" s="233"/>
      <c r="P860" s="233"/>
      <c r="Q860" s="233"/>
      <c r="R860" s="233"/>
      <c r="S860" s="233"/>
      <c r="T860" s="237"/>
      <c r="U860" s="233"/>
      <c r="V860" s="238"/>
      <c r="W860" s="238"/>
      <c r="AK860" s="242"/>
      <c r="AM860" s="236"/>
    </row>
    <row r="861" ht="14.25" customHeight="1">
      <c r="B861" s="233"/>
      <c r="D861" s="234"/>
      <c r="H861" s="235"/>
      <c r="K861" s="236"/>
      <c r="L861" s="237"/>
      <c r="M861" s="233"/>
      <c r="N861" s="233"/>
      <c r="O861" s="233"/>
      <c r="P861" s="233"/>
      <c r="Q861" s="233"/>
      <c r="R861" s="233"/>
      <c r="S861" s="233"/>
      <c r="T861" s="237"/>
      <c r="U861" s="233"/>
      <c r="V861" s="238"/>
      <c r="W861" s="238"/>
      <c r="AK861" s="242"/>
      <c r="AM861" s="236"/>
    </row>
    <row r="862" ht="14.25" customHeight="1">
      <c r="B862" s="233"/>
      <c r="D862" s="234"/>
      <c r="H862" s="235"/>
      <c r="K862" s="236"/>
      <c r="L862" s="237"/>
      <c r="M862" s="233"/>
      <c r="N862" s="233"/>
      <c r="O862" s="233"/>
      <c r="P862" s="233"/>
      <c r="Q862" s="233"/>
      <c r="R862" s="233"/>
      <c r="S862" s="233"/>
      <c r="T862" s="237"/>
      <c r="U862" s="233"/>
      <c r="V862" s="238"/>
      <c r="W862" s="238"/>
      <c r="AK862" s="242"/>
      <c r="AM862" s="236"/>
    </row>
    <row r="863" ht="14.25" customHeight="1">
      <c r="B863" s="233"/>
      <c r="D863" s="234"/>
      <c r="H863" s="235"/>
      <c r="K863" s="236"/>
      <c r="L863" s="237"/>
      <c r="M863" s="233"/>
      <c r="N863" s="233"/>
      <c r="O863" s="233"/>
      <c r="P863" s="233"/>
      <c r="Q863" s="233"/>
      <c r="R863" s="233"/>
      <c r="S863" s="233"/>
      <c r="T863" s="237"/>
      <c r="U863" s="233"/>
      <c r="V863" s="238"/>
      <c r="W863" s="238"/>
      <c r="AK863" s="242"/>
      <c r="AM863" s="236"/>
    </row>
    <row r="864" ht="14.25" customHeight="1">
      <c r="B864" s="233"/>
      <c r="D864" s="234"/>
      <c r="H864" s="235"/>
      <c r="K864" s="236"/>
      <c r="L864" s="237"/>
      <c r="M864" s="233"/>
      <c r="N864" s="233"/>
      <c r="O864" s="233"/>
      <c r="P864" s="233"/>
      <c r="Q864" s="233"/>
      <c r="R864" s="233"/>
      <c r="S864" s="233"/>
      <c r="T864" s="237"/>
      <c r="U864" s="233"/>
      <c r="V864" s="238"/>
      <c r="W864" s="238"/>
      <c r="AK864" s="242"/>
      <c r="AM864" s="236"/>
    </row>
    <row r="865" ht="14.25" customHeight="1">
      <c r="B865" s="233"/>
      <c r="D865" s="234"/>
      <c r="H865" s="235"/>
      <c r="K865" s="236"/>
      <c r="L865" s="237"/>
      <c r="M865" s="233"/>
      <c r="N865" s="233"/>
      <c r="O865" s="233"/>
      <c r="P865" s="233"/>
      <c r="Q865" s="233"/>
      <c r="R865" s="233"/>
      <c r="S865" s="233"/>
      <c r="T865" s="237"/>
      <c r="U865" s="233"/>
      <c r="V865" s="238"/>
      <c r="W865" s="238"/>
      <c r="AK865" s="242"/>
      <c r="AM865" s="236"/>
    </row>
    <row r="866" ht="14.25" customHeight="1">
      <c r="B866" s="233"/>
      <c r="D866" s="234"/>
      <c r="H866" s="235"/>
      <c r="K866" s="236"/>
      <c r="L866" s="237"/>
      <c r="M866" s="233"/>
      <c r="N866" s="233"/>
      <c r="O866" s="233"/>
      <c r="P866" s="233"/>
      <c r="Q866" s="233"/>
      <c r="R866" s="233"/>
      <c r="S866" s="233"/>
      <c r="T866" s="237"/>
      <c r="U866" s="233"/>
      <c r="V866" s="238"/>
      <c r="W866" s="238"/>
      <c r="AK866" s="242"/>
      <c r="AM866" s="236"/>
    </row>
    <row r="867" ht="14.25" customHeight="1">
      <c r="B867" s="233"/>
      <c r="D867" s="234"/>
      <c r="H867" s="235"/>
      <c r="K867" s="236"/>
      <c r="L867" s="237"/>
      <c r="M867" s="233"/>
      <c r="N867" s="233"/>
      <c r="O867" s="233"/>
      <c r="P867" s="233"/>
      <c r="Q867" s="233"/>
      <c r="R867" s="233"/>
      <c r="S867" s="233"/>
      <c r="T867" s="237"/>
      <c r="U867" s="233"/>
      <c r="V867" s="238"/>
      <c r="W867" s="238"/>
      <c r="AK867" s="242"/>
      <c r="AM867" s="236"/>
    </row>
    <row r="868" ht="14.25" customHeight="1">
      <c r="B868" s="233"/>
      <c r="D868" s="234"/>
      <c r="H868" s="235"/>
      <c r="K868" s="236"/>
      <c r="L868" s="237"/>
      <c r="M868" s="233"/>
      <c r="N868" s="233"/>
      <c r="O868" s="233"/>
      <c r="P868" s="233"/>
      <c r="Q868" s="233"/>
      <c r="R868" s="233"/>
      <c r="S868" s="233"/>
      <c r="T868" s="237"/>
      <c r="U868" s="233"/>
      <c r="V868" s="238"/>
      <c r="W868" s="238"/>
      <c r="AK868" s="242"/>
      <c r="AM868" s="236"/>
    </row>
    <row r="869" ht="14.25" customHeight="1">
      <c r="B869" s="233"/>
      <c r="D869" s="234"/>
      <c r="H869" s="235"/>
      <c r="K869" s="236"/>
      <c r="L869" s="237"/>
      <c r="M869" s="233"/>
      <c r="N869" s="233"/>
      <c r="O869" s="233"/>
      <c r="P869" s="233"/>
      <c r="Q869" s="233"/>
      <c r="R869" s="233"/>
      <c r="S869" s="233"/>
      <c r="T869" s="237"/>
      <c r="U869" s="233"/>
      <c r="V869" s="238"/>
      <c r="W869" s="238"/>
      <c r="AK869" s="242"/>
      <c r="AM869" s="236"/>
    </row>
    <row r="870" ht="14.25" customHeight="1">
      <c r="B870" s="233"/>
      <c r="D870" s="234"/>
      <c r="H870" s="235"/>
      <c r="K870" s="236"/>
      <c r="L870" s="237"/>
      <c r="M870" s="233"/>
      <c r="N870" s="233"/>
      <c r="O870" s="233"/>
      <c r="P870" s="233"/>
      <c r="Q870" s="233"/>
      <c r="R870" s="233"/>
      <c r="S870" s="233"/>
      <c r="T870" s="237"/>
      <c r="U870" s="233"/>
      <c r="V870" s="238"/>
      <c r="W870" s="238"/>
      <c r="AK870" s="242"/>
      <c r="AM870" s="236"/>
    </row>
    <row r="871" ht="14.25" customHeight="1">
      <c r="B871" s="233"/>
      <c r="D871" s="234"/>
      <c r="H871" s="235"/>
      <c r="K871" s="236"/>
      <c r="L871" s="237"/>
      <c r="M871" s="233"/>
      <c r="N871" s="233"/>
      <c r="O871" s="233"/>
      <c r="P871" s="233"/>
      <c r="Q871" s="233"/>
      <c r="R871" s="233"/>
      <c r="S871" s="233"/>
      <c r="T871" s="237"/>
      <c r="U871" s="233"/>
      <c r="V871" s="238"/>
      <c r="W871" s="238"/>
      <c r="AK871" s="242"/>
      <c r="AM871" s="236"/>
    </row>
    <row r="872" ht="14.25" customHeight="1">
      <c r="B872" s="233"/>
      <c r="D872" s="234"/>
      <c r="H872" s="235"/>
      <c r="K872" s="236"/>
      <c r="L872" s="237"/>
      <c r="M872" s="233"/>
      <c r="N872" s="233"/>
      <c r="O872" s="233"/>
      <c r="P872" s="233"/>
      <c r="Q872" s="233"/>
      <c r="R872" s="233"/>
      <c r="S872" s="233"/>
      <c r="T872" s="237"/>
      <c r="U872" s="233"/>
      <c r="V872" s="238"/>
      <c r="W872" s="238"/>
      <c r="AK872" s="242"/>
      <c r="AM872" s="236"/>
    </row>
    <row r="873" ht="14.25" customHeight="1">
      <c r="B873" s="233"/>
      <c r="D873" s="234"/>
      <c r="H873" s="235"/>
      <c r="K873" s="236"/>
      <c r="L873" s="237"/>
      <c r="M873" s="233"/>
      <c r="N873" s="233"/>
      <c r="O873" s="233"/>
      <c r="P873" s="233"/>
      <c r="Q873" s="233"/>
      <c r="R873" s="233"/>
      <c r="S873" s="233"/>
      <c r="T873" s="237"/>
      <c r="U873" s="233"/>
      <c r="V873" s="238"/>
      <c r="W873" s="238"/>
      <c r="AK873" s="242"/>
      <c r="AM873" s="236"/>
    </row>
    <row r="874" ht="14.25" customHeight="1">
      <c r="B874" s="233"/>
      <c r="D874" s="234"/>
      <c r="H874" s="235"/>
      <c r="K874" s="236"/>
      <c r="L874" s="237"/>
      <c r="M874" s="233"/>
      <c r="N874" s="233"/>
      <c r="O874" s="233"/>
      <c r="P874" s="233"/>
      <c r="Q874" s="233"/>
      <c r="R874" s="233"/>
      <c r="S874" s="233"/>
      <c r="T874" s="237"/>
      <c r="U874" s="233"/>
      <c r="V874" s="238"/>
      <c r="W874" s="238"/>
      <c r="AK874" s="242"/>
      <c r="AM874" s="236"/>
    </row>
    <row r="875" ht="14.25" customHeight="1">
      <c r="B875" s="233"/>
      <c r="D875" s="234"/>
      <c r="H875" s="235"/>
      <c r="K875" s="236"/>
      <c r="L875" s="237"/>
      <c r="M875" s="233"/>
      <c r="N875" s="233"/>
      <c r="O875" s="233"/>
      <c r="P875" s="233"/>
      <c r="Q875" s="233"/>
      <c r="R875" s="233"/>
      <c r="S875" s="233"/>
      <c r="T875" s="237"/>
      <c r="U875" s="233"/>
      <c r="V875" s="238"/>
      <c r="W875" s="238"/>
      <c r="AK875" s="242"/>
      <c r="AM875" s="236"/>
    </row>
    <row r="876" ht="14.25" customHeight="1">
      <c r="B876" s="233"/>
      <c r="D876" s="234"/>
      <c r="H876" s="235"/>
      <c r="K876" s="236"/>
      <c r="L876" s="237"/>
      <c r="M876" s="233"/>
      <c r="N876" s="233"/>
      <c r="O876" s="233"/>
      <c r="P876" s="233"/>
      <c r="Q876" s="233"/>
      <c r="R876" s="233"/>
      <c r="S876" s="233"/>
      <c r="T876" s="237"/>
      <c r="U876" s="233"/>
      <c r="V876" s="238"/>
      <c r="W876" s="238"/>
      <c r="AK876" s="242"/>
      <c r="AM876" s="236"/>
    </row>
    <row r="877" ht="14.25" customHeight="1">
      <c r="B877" s="233"/>
      <c r="D877" s="234"/>
      <c r="H877" s="235"/>
      <c r="K877" s="236"/>
      <c r="L877" s="237"/>
      <c r="M877" s="233"/>
      <c r="N877" s="233"/>
      <c r="O877" s="233"/>
      <c r="P877" s="233"/>
      <c r="Q877" s="233"/>
      <c r="R877" s="233"/>
      <c r="S877" s="233"/>
      <c r="T877" s="237"/>
      <c r="U877" s="233"/>
      <c r="V877" s="238"/>
      <c r="W877" s="238"/>
      <c r="AK877" s="242"/>
      <c r="AM877" s="236"/>
    </row>
    <row r="878" ht="14.25" customHeight="1">
      <c r="B878" s="233"/>
      <c r="D878" s="234"/>
      <c r="H878" s="235"/>
      <c r="K878" s="236"/>
      <c r="L878" s="237"/>
      <c r="M878" s="233"/>
      <c r="N878" s="233"/>
      <c r="O878" s="233"/>
      <c r="P878" s="233"/>
      <c r="Q878" s="233"/>
      <c r="R878" s="233"/>
      <c r="S878" s="233"/>
      <c r="T878" s="237"/>
      <c r="U878" s="233"/>
      <c r="V878" s="238"/>
      <c r="W878" s="238"/>
      <c r="AK878" s="242"/>
      <c r="AM878" s="236"/>
    </row>
    <row r="879" ht="14.25" customHeight="1">
      <c r="B879" s="233"/>
      <c r="D879" s="234"/>
      <c r="H879" s="235"/>
      <c r="K879" s="236"/>
      <c r="L879" s="237"/>
      <c r="M879" s="233"/>
      <c r="N879" s="233"/>
      <c r="O879" s="233"/>
      <c r="P879" s="233"/>
      <c r="Q879" s="233"/>
      <c r="R879" s="233"/>
      <c r="S879" s="233"/>
      <c r="T879" s="237"/>
      <c r="U879" s="233"/>
      <c r="V879" s="238"/>
      <c r="W879" s="238"/>
      <c r="AK879" s="242"/>
      <c r="AM879" s="236"/>
    </row>
    <row r="880" ht="14.25" customHeight="1">
      <c r="B880" s="233"/>
      <c r="D880" s="234"/>
      <c r="H880" s="235"/>
      <c r="K880" s="236"/>
      <c r="L880" s="237"/>
      <c r="M880" s="233"/>
      <c r="N880" s="233"/>
      <c r="O880" s="233"/>
      <c r="P880" s="233"/>
      <c r="Q880" s="233"/>
      <c r="R880" s="233"/>
      <c r="S880" s="233"/>
      <c r="T880" s="237"/>
      <c r="U880" s="233"/>
      <c r="V880" s="238"/>
      <c r="W880" s="238"/>
      <c r="AK880" s="242"/>
      <c r="AM880" s="236"/>
    </row>
    <row r="881" ht="14.25" customHeight="1">
      <c r="B881" s="233"/>
      <c r="D881" s="234"/>
      <c r="H881" s="235"/>
      <c r="K881" s="236"/>
      <c r="L881" s="237"/>
      <c r="M881" s="233"/>
      <c r="N881" s="233"/>
      <c r="O881" s="233"/>
      <c r="P881" s="233"/>
      <c r="Q881" s="233"/>
      <c r="R881" s="233"/>
      <c r="S881" s="233"/>
      <c r="T881" s="237"/>
      <c r="U881" s="233"/>
      <c r="V881" s="238"/>
      <c r="W881" s="238"/>
      <c r="AK881" s="242"/>
      <c r="AM881" s="236"/>
    </row>
    <row r="882" ht="14.25" customHeight="1">
      <c r="B882" s="233"/>
      <c r="D882" s="234"/>
      <c r="H882" s="235"/>
      <c r="K882" s="236"/>
      <c r="L882" s="237"/>
      <c r="M882" s="233"/>
      <c r="N882" s="233"/>
      <c r="O882" s="233"/>
      <c r="P882" s="233"/>
      <c r="Q882" s="233"/>
      <c r="R882" s="233"/>
      <c r="S882" s="233"/>
      <c r="T882" s="237"/>
      <c r="U882" s="233"/>
      <c r="V882" s="238"/>
      <c r="W882" s="238"/>
      <c r="AK882" s="242"/>
      <c r="AM882" s="236"/>
    </row>
    <row r="883" ht="14.25" customHeight="1">
      <c r="B883" s="233"/>
      <c r="D883" s="234"/>
      <c r="H883" s="235"/>
      <c r="K883" s="236"/>
      <c r="L883" s="237"/>
      <c r="M883" s="233"/>
      <c r="N883" s="233"/>
      <c r="O883" s="233"/>
      <c r="P883" s="233"/>
      <c r="Q883" s="233"/>
      <c r="R883" s="233"/>
      <c r="S883" s="233"/>
      <c r="T883" s="237"/>
      <c r="U883" s="233"/>
      <c r="V883" s="238"/>
      <c r="W883" s="238"/>
      <c r="AK883" s="242"/>
      <c r="AM883" s="236"/>
    </row>
    <row r="884" ht="14.25" customHeight="1">
      <c r="B884" s="233"/>
      <c r="D884" s="234"/>
      <c r="H884" s="235"/>
      <c r="K884" s="236"/>
      <c r="L884" s="237"/>
      <c r="M884" s="233"/>
      <c r="N884" s="233"/>
      <c r="O884" s="233"/>
      <c r="P884" s="233"/>
      <c r="Q884" s="233"/>
      <c r="R884" s="233"/>
      <c r="S884" s="233"/>
      <c r="T884" s="237"/>
      <c r="U884" s="233"/>
      <c r="V884" s="238"/>
      <c r="W884" s="238"/>
      <c r="AK884" s="242"/>
      <c r="AM884" s="236"/>
    </row>
    <row r="885" ht="14.25" customHeight="1">
      <c r="B885" s="233"/>
      <c r="D885" s="234"/>
      <c r="H885" s="235"/>
      <c r="K885" s="236"/>
      <c r="L885" s="237"/>
      <c r="M885" s="233"/>
      <c r="N885" s="233"/>
      <c r="O885" s="233"/>
      <c r="P885" s="233"/>
      <c r="Q885" s="233"/>
      <c r="R885" s="233"/>
      <c r="S885" s="233"/>
      <c r="T885" s="237"/>
      <c r="U885" s="233"/>
      <c r="V885" s="238"/>
      <c r="W885" s="238"/>
      <c r="AK885" s="242"/>
      <c r="AM885" s="236"/>
    </row>
    <row r="886" ht="14.25" customHeight="1">
      <c r="B886" s="233"/>
      <c r="D886" s="234"/>
      <c r="H886" s="235"/>
      <c r="K886" s="236"/>
      <c r="L886" s="237"/>
      <c r="M886" s="233"/>
      <c r="N886" s="233"/>
      <c r="O886" s="233"/>
      <c r="P886" s="233"/>
      <c r="Q886" s="233"/>
      <c r="R886" s="233"/>
      <c r="S886" s="233"/>
      <c r="T886" s="237"/>
      <c r="U886" s="233"/>
      <c r="V886" s="238"/>
      <c r="W886" s="238"/>
      <c r="AK886" s="242"/>
      <c r="AM886" s="236"/>
    </row>
    <row r="887" ht="14.25" customHeight="1">
      <c r="B887" s="233"/>
      <c r="D887" s="234"/>
      <c r="H887" s="235"/>
      <c r="K887" s="236"/>
      <c r="L887" s="237"/>
      <c r="M887" s="233"/>
      <c r="N887" s="233"/>
      <c r="O887" s="233"/>
      <c r="P887" s="233"/>
      <c r="Q887" s="233"/>
      <c r="R887" s="233"/>
      <c r="S887" s="233"/>
      <c r="T887" s="237"/>
      <c r="U887" s="233"/>
      <c r="V887" s="238"/>
      <c r="W887" s="238"/>
      <c r="AK887" s="242"/>
      <c r="AM887" s="236"/>
    </row>
    <row r="888" ht="14.25" customHeight="1">
      <c r="B888" s="233"/>
      <c r="D888" s="234"/>
      <c r="H888" s="235"/>
      <c r="K888" s="236"/>
      <c r="L888" s="237"/>
      <c r="M888" s="233"/>
      <c r="N888" s="233"/>
      <c r="O888" s="233"/>
      <c r="P888" s="233"/>
      <c r="Q888" s="233"/>
      <c r="R888" s="233"/>
      <c r="S888" s="233"/>
      <c r="T888" s="237"/>
      <c r="U888" s="233"/>
      <c r="V888" s="238"/>
      <c r="W888" s="238"/>
      <c r="AK888" s="242"/>
      <c r="AM888" s="236"/>
    </row>
    <row r="889" ht="14.25" customHeight="1">
      <c r="B889" s="233"/>
      <c r="D889" s="234"/>
      <c r="H889" s="235"/>
      <c r="K889" s="236"/>
      <c r="L889" s="237"/>
      <c r="M889" s="233"/>
      <c r="N889" s="233"/>
      <c r="O889" s="233"/>
      <c r="P889" s="233"/>
      <c r="Q889" s="233"/>
      <c r="R889" s="233"/>
      <c r="S889" s="233"/>
      <c r="T889" s="237"/>
      <c r="U889" s="233"/>
      <c r="V889" s="238"/>
      <c r="W889" s="238"/>
      <c r="AK889" s="242"/>
      <c r="AM889" s="236"/>
    </row>
    <row r="890" ht="14.25" customHeight="1">
      <c r="B890" s="233"/>
      <c r="D890" s="234"/>
      <c r="H890" s="235"/>
      <c r="K890" s="236"/>
      <c r="L890" s="237"/>
      <c r="M890" s="233"/>
      <c r="N890" s="233"/>
      <c r="O890" s="233"/>
      <c r="P890" s="233"/>
      <c r="Q890" s="233"/>
      <c r="R890" s="233"/>
      <c r="S890" s="233"/>
      <c r="T890" s="237"/>
      <c r="U890" s="233"/>
      <c r="V890" s="238"/>
      <c r="W890" s="238"/>
      <c r="AK890" s="242"/>
      <c r="AM890" s="236"/>
    </row>
    <row r="891" ht="14.25" customHeight="1">
      <c r="B891" s="233"/>
      <c r="D891" s="234"/>
      <c r="H891" s="235"/>
      <c r="K891" s="236"/>
      <c r="L891" s="237"/>
      <c r="M891" s="233"/>
      <c r="N891" s="233"/>
      <c r="O891" s="233"/>
      <c r="P891" s="233"/>
      <c r="Q891" s="233"/>
      <c r="R891" s="233"/>
      <c r="S891" s="233"/>
      <c r="T891" s="237"/>
      <c r="U891" s="233"/>
      <c r="V891" s="238"/>
      <c r="W891" s="238"/>
      <c r="AK891" s="242"/>
      <c r="AM891" s="236"/>
    </row>
    <row r="892" ht="14.25" customHeight="1">
      <c r="B892" s="233"/>
      <c r="D892" s="234"/>
      <c r="H892" s="235"/>
      <c r="K892" s="236"/>
      <c r="L892" s="237"/>
      <c r="M892" s="233"/>
      <c r="N892" s="233"/>
      <c r="O892" s="233"/>
      <c r="P892" s="233"/>
      <c r="Q892" s="233"/>
      <c r="R892" s="233"/>
      <c r="S892" s="233"/>
      <c r="T892" s="237"/>
      <c r="U892" s="233"/>
      <c r="V892" s="238"/>
      <c r="W892" s="238"/>
      <c r="AK892" s="242"/>
      <c r="AM892" s="236"/>
    </row>
    <row r="893" ht="14.25" customHeight="1">
      <c r="B893" s="233"/>
      <c r="D893" s="234"/>
      <c r="H893" s="235"/>
      <c r="K893" s="236"/>
      <c r="L893" s="237"/>
      <c r="M893" s="233"/>
      <c r="N893" s="233"/>
      <c r="O893" s="233"/>
      <c r="P893" s="233"/>
      <c r="Q893" s="233"/>
      <c r="R893" s="233"/>
      <c r="S893" s="233"/>
      <c r="T893" s="237"/>
      <c r="U893" s="233"/>
      <c r="V893" s="238"/>
      <c r="W893" s="238"/>
      <c r="AK893" s="242"/>
      <c r="AM893" s="236"/>
    </row>
    <row r="894" ht="14.25" customHeight="1">
      <c r="B894" s="233"/>
      <c r="D894" s="234"/>
      <c r="H894" s="235"/>
      <c r="K894" s="236"/>
      <c r="L894" s="237"/>
      <c r="M894" s="233"/>
      <c r="N894" s="233"/>
      <c r="O894" s="233"/>
      <c r="P894" s="233"/>
      <c r="Q894" s="233"/>
      <c r="R894" s="233"/>
      <c r="S894" s="233"/>
      <c r="T894" s="237"/>
      <c r="U894" s="233"/>
      <c r="V894" s="238"/>
      <c r="W894" s="238"/>
      <c r="AK894" s="242"/>
      <c r="AM894" s="236"/>
    </row>
    <row r="895" ht="14.25" customHeight="1">
      <c r="B895" s="233"/>
      <c r="D895" s="234"/>
      <c r="H895" s="235"/>
      <c r="K895" s="236"/>
      <c r="L895" s="237"/>
      <c r="M895" s="233"/>
      <c r="N895" s="233"/>
      <c r="O895" s="233"/>
      <c r="P895" s="233"/>
      <c r="Q895" s="233"/>
      <c r="R895" s="233"/>
      <c r="S895" s="233"/>
      <c r="T895" s="237"/>
      <c r="U895" s="233"/>
      <c r="V895" s="238"/>
      <c r="W895" s="238"/>
      <c r="AK895" s="242"/>
      <c r="AM895" s="236"/>
    </row>
    <row r="896" ht="14.25" customHeight="1">
      <c r="B896" s="233"/>
      <c r="D896" s="234"/>
      <c r="H896" s="235"/>
      <c r="K896" s="236"/>
      <c r="L896" s="237"/>
      <c r="M896" s="233"/>
      <c r="N896" s="233"/>
      <c r="O896" s="233"/>
      <c r="P896" s="233"/>
      <c r="Q896" s="233"/>
      <c r="R896" s="233"/>
      <c r="S896" s="233"/>
      <c r="T896" s="237"/>
      <c r="U896" s="233"/>
      <c r="V896" s="238"/>
      <c r="W896" s="238"/>
      <c r="AK896" s="242"/>
      <c r="AM896" s="236"/>
    </row>
    <row r="897" ht="14.25" customHeight="1">
      <c r="B897" s="233"/>
      <c r="D897" s="234"/>
      <c r="H897" s="235"/>
      <c r="K897" s="236"/>
      <c r="L897" s="237"/>
      <c r="M897" s="233"/>
      <c r="N897" s="233"/>
      <c r="O897" s="233"/>
      <c r="P897" s="233"/>
      <c r="Q897" s="233"/>
      <c r="R897" s="233"/>
      <c r="S897" s="233"/>
      <c r="T897" s="237"/>
      <c r="U897" s="233"/>
      <c r="V897" s="238"/>
      <c r="W897" s="238"/>
      <c r="AK897" s="242"/>
      <c r="AM897" s="236"/>
    </row>
    <row r="898" ht="14.25" customHeight="1">
      <c r="B898" s="233"/>
      <c r="D898" s="234"/>
      <c r="H898" s="235"/>
      <c r="K898" s="236"/>
      <c r="L898" s="237"/>
      <c r="M898" s="233"/>
      <c r="N898" s="233"/>
      <c r="O898" s="233"/>
      <c r="P898" s="233"/>
      <c r="Q898" s="233"/>
      <c r="R898" s="233"/>
      <c r="S898" s="233"/>
      <c r="T898" s="237"/>
      <c r="U898" s="233"/>
      <c r="V898" s="238"/>
      <c r="W898" s="238"/>
      <c r="AK898" s="242"/>
      <c r="AM898" s="236"/>
    </row>
    <row r="899" ht="14.25" customHeight="1">
      <c r="B899" s="233"/>
      <c r="D899" s="234"/>
      <c r="H899" s="235"/>
      <c r="K899" s="236"/>
      <c r="L899" s="237"/>
      <c r="M899" s="233"/>
      <c r="N899" s="233"/>
      <c r="O899" s="233"/>
      <c r="P899" s="233"/>
      <c r="Q899" s="233"/>
      <c r="R899" s="233"/>
      <c r="S899" s="233"/>
      <c r="T899" s="237"/>
      <c r="U899" s="233"/>
      <c r="V899" s="238"/>
      <c r="W899" s="238"/>
      <c r="AK899" s="242"/>
      <c r="AM899" s="236"/>
    </row>
    <row r="900" ht="14.25" customHeight="1">
      <c r="B900" s="233"/>
      <c r="D900" s="234"/>
      <c r="H900" s="235"/>
      <c r="K900" s="236"/>
      <c r="L900" s="237"/>
      <c r="M900" s="233"/>
      <c r="N900" s="233"/>
      <c r="O900" s="233"/>
      <c r="P900" s="233"/>
      <c r="Q900" s="233"/>
      <c r="R900" s="233"/>
      <c r="S900" s="233"/>
      <c r="T900" s="237"/>
      <c r="U900" s="233"/>
      <c r="V900" s="238"/>
      <c r="W900" s="238"/>
      <c r="AK900" s="242"/>
      <c r="AM900" s="236"/>
    </row>
    <row r="901" ht="14.25" customHeight="1">
      <c r="B901" s="233"/>
      <c r="D901" s="234"/>
      <c r="H901" s="235"/>
      <c r="K901" s="236"/>
      <c r="L901" s="237"/>
      <c r="M901" s="233"/>
      <c r="N901" s="233"/>
      <c r="O901" s="233"/>
      <c r="P901" s="233"/>
      <c r="Q901" s="233"/>
      <c r="R901" s="233"/>
      <c r="S901" s="233"/>
      <c r="T901" s="237"/>
      <c r="U901" s="233"/>
      <c r="V901" s="238"/>
      <c r="W901" s="238"/>
      <c r="AK901" s="242"/>
      <c r="AM901" s="236"/>
    </row>
    <row r="902" ht="14.25" customHeight="1">
      <c r="B902" s="233"/>
      <c r="D902" s="234"/>
      <c r="H902" s="235"/>
      <c r="K902" s="236"/>
      <c r="L902" s="237"/>
      <c r="M902" s="233"/>
      <c r="N902" s="233"/>
      <c r="O902" s="233"/>
      <c r="P902" s="233"/>
      <c r="Q902" s="233"/>
      <c r="R902" s="233"/>
      <c r="S902" s="233"/>
      <c r="T902" s="237"/>
      <c r="U902" s="233"/>
      <c r="V902" s="238"/>
      <c r="W902" s="238"/>
      <c r="AK902" s="242"/>
      <c r="AM902" s="236"/>
    </row>
    <row r="903" ht="14.25" customHeight="1">
      <c r="B903" s="233"/>
      <c r="D903" s="234"/>
      <c r="H903" s="235"/>
      <c r="K903" s="236"/>
      <c r="L903" s="237"/>
      <c r="M903" s="233"/>
      <c r="N903" s="233"/>
      <c r="O903" s="233"/>
      <c r="P903" s="233"/>
      <c r="Q903" s="233"/>
      <c r="R903" s="233"/>
      <c r="S903" s="233"/>
      <c r="T903" s="237"/>
      <c r="U903" s="233"/>
      <c r="V903" s="238"/>
      <c r="W903" s="238"/>
      <c r="AK903" s="242"/>
      <c r="AM903" s="236"/>
    </row>
    <row r="904" ht="14.25" customHeight="1">
      <c r="B904" s="233"/>
      <c r="D904" s="234"/>
      <c r="H904" s="235"/>
      <c r="K904" s="236"/>
      <c r="L904" s="237"/>
      <c r="M904" s="233"/>
      <c r="N904" s="233"/>
      <c r="O904" s="233"/>
      <c r="P904" s="233"/>
      <c r="Q904" s="233"/>
      <c r="R904" s="233"/>
      <c r="S904" s="233"/>
      <c r="T904" s="237"/>
      <c r="U904" s="233"/>
      <c r="V904" s="238"/>
      <c r="W904" s="238"/>
      <c r="AK904" s="242"/>
      <c r="AM904" s="236"/>
    </row>
    <row r="905" ht="14.25" customHeight="1">
      <c r="B905" s="233"/>
      <c r="D905" s="234"/>
      <c r="H905" s="235"/>
      <c r="K905" s="236"/>
      <c r="L905" s="237"/>
      <c r="M905" s="233"/>
      <c r="N905" s="233"/>
      <c r="O905" s="233"/>
      <c r="P905" s="233"/>
      <c r="Q905" s="233"/>
      <c r="R905" s="233"/>
      <c r="S905" s="233"/>
      <c r="T905" s="237"/>
      <c r="U905" s="233"/>
      <c r="V905" s="238"/>
      <c r="W905" s="238"/>
      <c r="AK905" s="242"/>
      <c r="AM905" s="236"/>
    </row>
    <row r="906" ht="14.25" customHeight="1">
      <c r="B906" s="233"/>
      <c r="D906" s="234"/>
      <c r="H906" s="235"/>
      <c r="K906" s="236"/>
      <c r="L906" s="237"/>
      <c r="M906" s="233"/>
      <c r="N906" s="233"/>
      <c r="O906" s="233"/>
      <c r="P906" s="233"/>
      <c r="Q906" s="233"/>
      <c r="R906" s="233"/>
      <c r="S906" s="233"/>
      <c r="T906" s="237"/>
      <c r="U906" s="233"/>
      <c r="V906" s="238"/>
      <c r="W906" s="238"/>
      <c r="AK906" s="242"/>
      <c r="AM906" s="236"/>
    </row>
    <row r="907" ht="14.25" customHeight="1">
      <c r="B907" s="233"/>
      <c r="D907" s="234"/>
      <c r="H907" s="235"/>
      <c r="K907" s="236"/>
      <c r="L907" s="237"/>
      <c r="M907" s="233"/>
      <c r="N907" s="233"/>
      <c r="O907" s="233"/>
      <c r="P907" s="233"/>
      <c r="Q907" s="233"/>
      <c r="R907" s="233"/>
      <c r="S907" s="233"/>
      <c r="T907" s="237"/>
      <c r="U907" s="233"/>
      <c r="V907" s="238"/>
      <c r="W907" s="238"/>
      <c r="AK907" s="242"/>
      <c r="AM907" s="236"/>
    </row>
    <row r="908" ht="14.25" customHeight="1">
      <c r="B908" s="233"/>
      <c r="D908" s="234"/>
      <c r="H908" s="235"/>
      <c r="K908" s="236"/>
      <c r="L908" s="237"/>
      <c r="M908" s="233"/>
      <c r="N908" s="233"/>
      <c r="O908" s="233"/>
      <c r="P908" s="233"/>
      <c r="Q908" s="233"/>
      <c r="R908" s="233"/>
      <c r="S908" s="233"/>
      <c r="T908" s="237"/>
      <c r="U908" s="233"/>
      <c r="V908" s="238"/>
      <c r="W908" s="238"/>
      <c r="AK908" s="242"/>
      <c r="AM908" s="236"/>
    </row>
    <row r="909" ht="14.25" customHeight="1">
      <c r="B909" s="233"/>
      <c r="D909" s="234"/>
      <c r="H909" s="235"/>
      <c r="K909" s="236"/>
      <c r="L909" s="237"/>
      <c r="M909" s="233"/>
      <c r="N909" s="233"/>
      <c r="O909" s="233"/>
      <c r="P909" s="233"/>
      <c r="Q909" s="233"/>
      <c r="R909" s="233"/>
      <c r="S909" s="233"/>
      <c r="T909" s="237"/>
      <c r="U909" s="233"/>
      <c r="V909" s="238"/>
      <c r="W909" s="238"/>
      <c r="AK909" s="242"/>
      <c r="AM909" s="236"/>
    </row>
    <row r="910" ht="14.25" customHeight="1">
      <c r="B910" s="233"/>
      <c r="D910" s="234"/>
      <c r="H910" s="235"/>
      <c r="K910" s="236"/>
      <c r="L910" s="237"/>
      <c r="M910" s="233"/>
      <c r="N910" s="233"/>
      <c r="O910" s="233"/>
      <c r="P910" s="233"/>
      <c r="Q910" s="233"/>
      <c r="R910" s="233"/>
      <c r="S910" s="233"/>
      <c r="T910" s="237"/>
      <c r="U910" s="233"/>
      <c r="V910" s="238"/>
      <c r="W910" s="238"/>
      <c r="AK910" s="242"/>
      <c r="AM910" s="236"/>
    </row>
    <row r="911" ht="14.25" customHeight="1">
      <c r="B911" s="233"/>
      <c r="D911" s="234"/>
      <c r="H911" s="235"/>
      <c r="K911" s="236"/>
      <c r="L911" s="237"/>
      <c r="M911" s="233"/>
      <c r="N911" s="233"/>
      <c r="O911" s="233"/>
      <c r="P911" s="233"/>
      <c r="Q911" s="233"/>
      <c r="R911" s="233"/>
      <c r="S911" s="233"/>
      <c r="T911" s="237"/>
      <c r="U911" s="233"/>
      <c r="V911" s="238"/>
      <c r="W911" s="238"/>
      <c r="AK911" s="242"/>
      <c r="AM911" s="236"/>
    </row>
    <row r="912" ht="14.25" customHeight="1">
      <c r="B912" s="233"/>
      <c r="D912" s="234"/>
      <c r="H912" s="235"/>
      <c r="K912" s="236"/>
      <c r="L912" s="237"/>
      <c r="M912" s="233"/>
      <c r="N912" s="233"/>
      <c r="O912" s="233"/>
      <c r="P912" s="233"/>
      <c r="Q912" s="233"/>
      <c r="R912" s="233"/>
      <c r="S912" s="233"/>
      <c r="T912" s="237"/>
      <c r="U912" s="233"/>
      <c r="V912" s="238"/>
      <c r="W912" s="238"/>
      <c r="AK912" s="242"/>
      <c r="AM912" s="236"/>
    </row>
    <row r="913" ht="14.25" customHeight="1">
      <c r="B913" s="233"/>
      <c r="D913" s="234"/>
      <c r="H913" s="235"/>
      <c r="K913" s="236"/>
      <c r="L913" s="237"/>
      <c r="M913" s="233"/>
      <c r="N913" s="233"/>
      <c r="O913" s="233"/>
      <c r="P913" s="233"/>
      <c r="Q913" s="233"/>
      <c r="R913" s="233"/>
      <c r="S913" s="233"/>
      <c r="T913" s="237"/>
      <c r="U913" s="233"/>
      <c r="V913" s="238"/>
      <c r="W913" s="238"/>
      <c r="AK913" s="242"/>
      <c r="AM913" s="236"/>
    </row>
    <row r="914" ht="14.25" customHeight="1">
      <c r="B914" s="233"/>
      <c r="D914" s="234"/>
      <c r="H914" s="235"/>
      <c r="K914" s="236"/>
      <c r="L914" s="237"/>
      <c r="M914" s="233"/>
      <c r="N914" s="233"/>
      <c r="O914" s="233"/>
      <c r="P914" s="233"/>
      <c r="Q914" s="233"/>
      <c r="R914" s="233"/>
      <c r="S914" s="233"/>
      <c r="T914" s="237"/>
      <c r="U914" s="233"/>
      <c r="V914" s="238"/>
      <c r="W914" s="238"/>
      <c r="AK914" s="242"/>
      <c r="AM914" s="236"/>
    </row>
    <row r="915" ht="14.25" customHeight="1">
      <c r="B915" s="233"/>
      <c r="D915" s="234"/>
      <c r="H915" s="235"/>
      <c r="K915" s="236"/>
      <c r="L915" s="237"/>
      <c r="M915" s="233"/>
      <c r="N915" s="233"/>
      <c r="O915" s="233"/>
      <c r="P915" s="233"/>
      <c r="Q915" s="233"/>
      <c r="R915" s="233"/>
      <c r="S915" s="233"/>
      <c r="T915" s="237"/>
      <c r="U915" s="233"/>
      <c r="V915" s="238"/>
      <c r="W915" s="238"/>
      <c r="AK915" s="242"/>
      <c r="AM915" s="236"/>
    </row>
    <row r="916" ht="14.25" customHeight="1">
      <c r="B916" s="233"/>
      <c r="D916" s="234"/>
      <c r="H916" s="235"/>
      <c r="K916" s="236"/>
      <c r="L916" s="237"/>
      <c r="M916" s="233"/>
      <c r="N916" s="233"/>
      <c r="O916" s="233"/>
      <c r="P916" s="233"/>
      <c r="Q916" s="233"/>
      <c r="R916" s="233"/>
      <c r="S916" s="233"/>
      <c r="T916" s="237"/>
      <c r="U916" s="233"/>
      <c r="V916" s="238"/>
      <c r="W916" s="238"/>
      <c r="AK916" s="242"/>
      <c r="AM916" s="236"/>
    </row>
    <row r="917" ht="14.25" customHeight="1">
      <c r="B917" s="233"/>
      <c r="D917" s="234"/>
      <c r="H917" s="235"/>
      <c r="K917" s="236"/>
      <c r="L917" s="237"/>
      <c r="M917" s="233"/>
      <c r="N917" s="233"/>
      <c r="O917" s="233"/>
      <c r="P917" s="233"/>
      <c r="Q917" s="233"/>
      <c r="R917" s="233"/>
      <c r="S917" s="233"/>
      <c r="T917" s="237"/>
      <c r="U917" s="233"/>
      <c r="V917" s="238"/>
      <c r="W917" s="238"/>
      <c r="AK917" s="242"/>
      <c r="AM917" s="236"/>
    </row>
    <row r="918" ht="14.25" customHeight="1">
      <c r="B918" s="233"/>
      <c r="D918" s="234"/>
      <c r="H918" s="235"/>
      <c r="K918" s="236"/>
      <c r="L918" s="237"/>
      <c r="M918" s="233"/>
      <c r="N918" s="233"/>
      <c r="O918" s="233"/>
      <c r="P918" s="233"/>
      <c r="Q918" s="233"/>
      <c r="R918" s="233"/>
      <c r="S918" s="233"/>
      <c r="T918" s="237"/>
      <c r="U918" s="233"/>
      <c r="V918" s="238"/>
      <c r="W918" s="238"/>
      <c r="AK918" s="242"/>
      <c r="AM918" s="236"/>
    </row>
    <row r="919" ht="14.25" customHeight="1">
      <c r="B919" s="233"/>
      <c r="D919" s="234"/>
      <c r="H919" s="235"/>
      <c r="K919" s="236"/>
      <c r="L919" s="237"/>
      <c r="M919" s="233"/>
      <c r="N919" s="233"/>
      <c r="O919" s="233"/>
      <c r="P919" s="233"/>
      <c r="Q919" s="233"/>
      <c r="R919" s="233"/>
      <c r="S919" s="233"/>
      <c r="T919" s="237"/>
      <c r="U919" s="233"/>
      <c r="V919" s="238"/>
      <c r="W919" s="238"/>
      <c r="AK919" s="242"/>
      <c r="AM919" s="236"/>
    </row>
    <row r="920" ht="14.25" customHeight="1">
      <c r="B920" s="233"/>
      <c r="D920" s="234"/>
      <c r="H920" s="235"/>
      <c r="K920" s="236"/>
      <c r="L920" s="237"/>
      <c r="M920" s="233"/>
      <c r="N920" s="233"/>
      <c r="O920" s="233"/>
      <c r="P920" s="233"/>
      <c r="Q920" s="233"/>
      <c r="R920" s="233"/>
      <c r="S920" s="233"/>
      <c r="T920" s="237"/>
      <c r="U920" s="233"/>
      <c r="V920" s="238"/>
      <c r="W920" s="238"/>
      <c r="AK920" s="242"/>
      <c r="AM920" s="236"/>
    </row>
    <row r="921" ht="14.25" customHeight="1">
      <c r="B921" s="233"/>
      <c r="D921" s="234"/>
      <c r="H921" s="235"/>
      <c r="K921" s="236"/>
      <c r="L921" s="237"/>
      <c r="M921" s="233"/>
      <c r="N921" s="233"/>
      <c r="O921" s="233"/>
      <c r="P921" s="233"/>
      <c r="Q921" s="233"/>
      <c r="R921" s="233"/>
      <c r="S921" s="233"/>
      <c r="T921" s="237"/>
      <c r="U921" s="233"/>
      <c r="V921" s="238"/>
      <c r="W921" s="238"/>
      <c r="AK921" s="242"/>
      <c r="AM921" s="236"/>
    </row>
    <row r="922" ht="14.25" customHeight="1">
      <c r="B922" s="233"/>
      <c r="D922" s="234"/>
      <c r="H922" s="235"/>
      <c r="K922" s="236"/>
      <c r="L922" s="237"/>
      <c r="M922" s="233"/>
      <c r="N922" s="233"/>
      <c r="O922" s="233"/>
      <c r="P922" s="233"/>
      <c r="Q922" s="233"/>
      <c r="R922" s="233"/>
      <c r="S922" s="233"/>
      <c r="T922" s="237"/>
      <c r="U922" s="233"/>
      <c r="V922" s="238"/>
      <c r="W922" s="238"/>
      <c r="AK922" s="242"/>
      <c r="AM922" s="236"/>
    </row>
    <row r="923" ht="14.25" customHeight="1">
      <c r="B923" s="233"/>
      <c r="D923" s="234"/>
      <c r="H923" s="235"/>
      <c r="K923" s="236"/>
      <c r="L923" s="237"/>
      <c r="M923" s="233"/>
      <c r="N923" s="233"/>
      <c r="O923" s="233"/>
      <c r="P923" s="233"/>
      <c r="Q923" s="233"/>
      <c r="R923" s="233"/>
      <c r="S923" s="233"/>
      <c r="T923" s="237"/>
      <c r="U923" s="233"/>
      <c r="V923" s="238"/>
      <c r="W923" s="238"/>
      <c r="AK923" s="242"/>
      <c r="AM923" s="236"/>
    </row>
    <row r="924" ht="14.25" customHeight="1">
      <c r="B924" s="233"/>
      <c r="D924" s="234"/>
      <c r="H924" s="235"/>
      <c r="K924" s="236"/>
      <c r="L924" s="237"/>
      <c r="M924" s="233"/>
      <c r="N924" s="233"/>
      <c r="O924" s="233"/>
      <c r="P924" s="233"/>
      <c r="Q924" s="233"/>
      <c r="R924" s="233"/>
      <c r="S924" s="233"/>
      <c r="T924" s="237"/>
      <c r="U924" s="233"/>
      <c r="V924" s="238"/>
      <c r="W924" s="238"/>
      <c r="AK924" s="242"/>
      <c r="AM924" s="236"/>
    </row>
    <row r="925" ht="14.25" customHeight="1">
      <c r="B925" s="233"/>
      <c r="D925" s="234"/>
      <c r="H925" s="235"/>
      <c r="K925" s="236"/>
      <c r="L925" s="237"/>
      <c r="M925" s="233"/>
      <c r="N925" s="233"/>
      <c r="O925" s="233"/>
      <c r="P925" s="233"/>
      <c r="Q925" s="233"/>
      <c r="R925" s="233"/>
      <c r="S925" s="233"/>
      <c r="T925" s="237"/>
      <c r="U925" s="233"/>
      <c r="V925" s="238"/>
      <c r="W925" s="238"/>
      <c r="AK925" s="242"/>
      <c r="AM925" s="236"/>
    </row>
    <row r="926" ht="14.25" customHeight="1">
      <c r="B926" s="233"/>
      <c r="D926" s="234"/>
      <c r="H926" s="235"/>
      <c r="K926" s="236"/>
      <c r="L926" s="237"/>
      <c r="M926" s="233"/>
      <c r="N926" s="233"/>
      <c r="O926" s="233"/>
      <c r="P926" s="233"/>
      <c r="Q926" s="233"/>
      <c r="R926" s="233"/>
      <c r="S926" s="233"/>
      <c r="T926" s="237"/>
      <c r="U926" s="233"/>
      <c r="V926" s="238"/>
      <c r="W926" s="238"/>
      <c r="AK926" s="242"/>
      <c r="AM926" s="236"/>
    </row>
    <row r="927" ht="14.25" customHeight="1">
      <c r="B927" s="233"/>
      <c r="D927" s="234"/>
      <c r="H927" s="235"/>
      <c r="K927" s="236"/>
      <c r="L927" s="237"/>
      <c r="M927" s="233"/>
      <c r="N927" s="233"/>
      <c r="O927" s="233"/>
      <c r="P927" s="233"/>
      <c r="Q927" s="233"/>
      <c r="R927" s="233"/>
      <c r="S927" s="233"/>
      <c r="T927" s="237"/>
      <c r="U927" s="233"/>
      <c r="V927" s="238"/>
      <c r="W927" s="238"/>
      <c r="AK927" s="242"/>
      <c r="AM927" s="236"/>
    </row>
    <row r="928" ht="14.25" customHeight="1">
      <c r="B928" s="233"/>
      <c r="D928" s="234"/>
      <c r="H928" s="235"/>
      <c r="K928" s="236"/>
      <c r="L928" s="237"/>
      <c r="M928" s="233"/>
      <c r="N928" s="233"/>
      <c r="O928" s="233"/>
      <c r="P928" s="233"/>
      <c r="Q928" s="233"/>
      <c r="R928" s="233"/>
      <c r="S928" s="233"/>
      <c r="T928" s="237"/>
      <c r="U928" s="233"/>
      <c r="V928" s="238"/>
      <c r="W928" s="238"/>
      <c r="AK928" s="242"/>
      <c r="AM928" s="236"/>
    </row>
    <row r="929" ht="14.25" customHeight="1">
      <c r="B929" s="233"/>
      <c r="D929" s="234"/>
      <c r="H929" s="235"/>
      <c r="K929" s="236"/>
      <c r="L929" s="237"/>
      <c r="M929" s="233"/>
      <c r="N929" s="233"/>
      <c r="O929" s="233"/>
      <c r="P929" s="233"/>
      <c r="Q929" s="233"/>
      <c r="R929" s="233"/>
      <c r="S929" s="233"/>
      <c r="T929" s="237"/>
      <c r="U929" s="233"/>
      <c r="V929" s="238"/>
      <c r="W929" s="238"/>
      <c r="AK929" s="242"/>
      <c r="AM929" s="236"/>
    </row>
    <row r="930" ht="14.25" customHeight="1">
      <c r="B930" s="233"/>
      <c r="D930" s="234"/>
      <c r="H930" s="235"/>
      <c r="K930" s="236"/>
      <c r="L930" s="237"/>
      <c r="M930" s="233"/>
      <c r="N930" s="233"/>
      <c r="O930" s="233"/>
      <c r="P930" s="233"/>
      <c r="Q930" s="233"/>
      <c r="R930" s="233"/>
      <c r="S930" s="233"/>
      <c r="T930" s="237"/>
      <c r="U930" s="233"/>
      <c r="V930" s="238"/>
      <c r="W930" s="238"/>
      <c r="AK930" s="242"/>
      <c r="AM930" s="236"/>
    </row>
    <row r="931" ht="14.25" customHeight="1">
      <c r="B931" s="233"/>
      <c r="D931" s="234"/>
      <c r="H931" s="235"/>
      <c r="K931" s="236"/>
      <c r="L931" s="237"/>
      <c r="M931" s="233"/>
      <c r="N931" s="233"/>
      <c r="O931" s="233"/>
      <c r="P931" s="233"/>
      <c r="Q931" s="233"/>
      <c r="R931" s="233"/>
      <c r="S931" s="233"/>
      <c r="T931" s="237"/>
      <c r="U931" s="233"/>
      <c r="V931" s="238"/>
      <c r="W931" s="238"/>
      <c r="AK931" s="242"/>
      <c r="AM931" s="236"/>
    </row>
    <row r="932" ht="14.25" customHeight="1">
      <c r="B932" s="233"/>
      <c r="D932" s="234"/>
      <c r="H932" s="235"/>
      <c r="K932" s="236"/>
      <c r="L932" s="237"/>
      <c r="M932" s="233"/>
      <c r="N932" s="233"/>
      <c r="O932" s="233"/>
      <c r="P932" s="233"/>
      <c r="Q932" s="233"/>
      <c r="R932" s="233"/>
      <c r="S932" s="233"/>
      <c r="T932" s="237"/>
      <c r="U932" s="233"/>
      <c r="V932" s="238"/>
      <c r="W932" s="238"/>
      <c r="AK932" s="242"/>
      <c r="AM932" s="236"/>
    </row>
    <row r="933" ht="14.25" customHeight="1">
      <c r="B933" s="233"/>
      <c r="D933" s="234"/>
      <c r="H933" s="235"/>
      <c r="K933" s="236"/>
      <c r="L933" s="237"/>
      <c r="M933" s="233"/>
      <c r="N933" s="233"/>
      <c r="O933" s="233"/>
      <c r="P933" s="233"/>
      <c r="Q933" s="233"/>
      <c r="R933" s="233"/>
      <c r="S933" s="233"/>
      <c r="T933" s="237"/>
      <c r="U933" s="233"/>
      <c r="V933" s="238"/>
      <c r="W933" s="238"/>
      <c r="AK933" s="242"/>
      <c r="AM933" s="236"/>
    </row>
    <row r="934" ht="14.25" customHeight="1">
      <c r="B934" s="233"/>
      <c r="D934" s="234"/>
      <c r="H934" s="235"/>
      <c r="K934" s="236"/>
      <c r="L934" s="237"/>
      <c r="M934" s="233"/>
      <c r="N934" s="233"/>
      <c r="O934" s="233"/>
      <c r="P934" s="233"/>
      <c r="Q934" s="233"/>
      <c r="R934" s="233"/>
      <c r="S934" s="233"/>
      <c r="T934" s="237"/>
      <c r="U934" s="233"/>
      <c r="V934" s="238"/>
      <c r="W934" s="238"/>
      <c r="AK934" s="242"/>
      <c r="AM934" s="236"/>
    </row>
    <row r="935" ht="14.25" customHeight="1">
      <c r="B935" s="233"/>
      <c r="D935" s="234"/>
      <c r="H935" s="235"/>
      <c r="K935" s="236"/>
      <c r="L935" s="237"/>
      <c r="M935" s="233"/>
      <c r="N935" s="233"/>
      <c r="O935" s="233"/>
      <c r="P935" s="233"/>
      <c r="Q935" s="233"/>
      <c r="R935" s="233"/>
      <c r="S935" s="233"/>
      <c r="T935" s="237"/>
      <c r="U935" s="233"/>
      <c r="V935" s="238"/>
      <c r="W935" s="238"/>
      <c r="AK935" s="242"/>
      <c r="AM935" s="236"/>
    </row>
    <row r="936" ht="14.25" customHeight="1">
      <c r="B936" s="233"/>
      <c r="D936" s="234"/>
      <c r="H936" s="235"/>
      <c r="K936" s="236"/>
      <c r="L936" s="237"/>
      <c r="M936" s="233"/>
      <c r="N936" s="233"/>
      <c r="O936" s="233"/>
      <c r="P936" s="233"/>
      <c r="Q936" s="233"/>
      <c r="R936" s="233"/>
      <c r="S936" s="233"/>
      <c r="T936" s="237"/>
      <c r="U936" s="233"/>
      <c r="V936" s="238"/>
      <c r="W936" s="238"/>
      <c r="AK936" s="242"/>
      <c r="AM936" s="236"/>
    </row>
    <row r="937" ht="14.25" customHeight="1">
      <c r="B937" s="233"/>
      <c r="D937" s="234"/>
      <c r="H937" s="235"/>
      <c r="K937" s="236"/>
      <c r="L937" s="237"/>
      <c r="M937" s="233"/>
      <c r="N937" s="233"/>
      <c r="O937" s="233"/>
      <c r="P937" s="233"/>
      <c r="Q937" s="233"/>
      <c r="R937" s="233"/>
      <c r="S937" s="233"/>
      <c r="T937" s="237"/>
      <c r="U937" s="233"/>
      <c r="V937" s="238"/>
      <c r="W937" s="238"/>
      <c r="AK937" s="242"/>
      <c r="AM937" s="236"/>
    </row>
    <row r="938" ht="14.25" customHeight="1">
      <c r="B938" s="233"/>
      <c r="D938" s="234"/>
      <c r="H938" s="235"/>
      <c r="K938" s="236"/>
      <c r="L938" s="237"/>
      <c r="M938" s="233"/>
      <c r="N938" s="233"/>
      <c r="O938" s="233"/>
      <c r="P938" s="233"/>
      <c r="Q938" s="233"/>
      <c r="R938" s="233"/>
      <c r="S938" s="233"/>
      <c r="T938" s="237"/>
      <c r="U938" s="233"/>
      <c r="V938" s="238"/>
      <c r="W938" s="238"/>
      <c r="AK938" s="242"/>
      <c r="AM938" s="236"/>
    </row>
    <row r="939" ht="14.25" customHeight="1">
      <c r="B939" s="233"/>
      <c r="D939" s="234"/>
      <c r="H939" s="235"/>
      <c r="K939" s="236"/>
      <c r="L939" s="237"/>
      <c r="M939" s="233"/>
      <c r="N939" s="233"/>
      <c r="O939" s="233"/>
      <c r="P939" s="233"/>
      <c r="Q939" s="233"/>
      <c r="R939" s="233"/>
      <c r="S939" s="233"/>
      <c r="T939" s="237"/>
      <c r="U939" s="233"/>
      <c r="V939" s="238"/>
      <c r="W939" s="238"/>
      <c r="AK939" s="242"/>
      <c r="AM939" s="236"/>
    </row>
    <row r="940" ht="14.25" customHeight="1">
      <c r="B940" s="233"/>
      <c r="D940" s="234"/>
      <c r="H940" s="235"/>
      <c r="K940" s="236"/>
      <c r="L940" s="237"/>
      <c r="M940" s="233"/>
      <c r="N940" s="233"/>
      <c r="O940" s="233"/>
      <c r="P940" s="233"/>
      <c r="Q940" s="233"/>
      <c r="R940" s="233"/>
      <c r="S940" s="233"/>
      <c r="T940" s="237"/>
      <c r="U940" s="233"/>
      <c r="V940" s="238"/>
      <c r="W940" s="238"/>
      <c r="AK940" s="242"/>
      <c r="AM940" s="236"/>
    </row>
    <row r="941" ht="14.25" customHeight="1">
      <c r="B941" s="233"/>
      <c r="D941" s="234"/>
      <c r="H941" s="235"/>
      <c r="K941" s="236"/>
      <c r="L941" s="237"/>
      <c r="M941" s="233"/>
      <c r="N941" s="233"/>
      <c r="O941" s="233"/>
      <c r="P941" s="233"/>
      <c r="Q941" s="233"/>
      <c r="R941" s="233"/>
      <c r="S941" s="233"/>
      <c r="T941" s="237"/>
      <c r="U941" s="233"/>
      <c r="V941" s="238"/>
      <c r="W941" s="238"/>
      <c r="AK941" s="242"/>
      <c r="AM941" s="236"/>
    </row>
    <row r="942" ht="14.25" customHeight="1">
      <c r="B942" s="233"/>
      <c r="D942" s="234"/>
      <c r="H942" s="235"/>
      <c r="K942" s="236"/>
      <c r="L942" s="237"/>
      <c r="M942" s="233"/>
      <c r="N942" s="233"/>
      <c r="O942" s="233"/>
      <c r="P942" s="233"/>
      <c r="Q942" s="233"/>
      <c r="R942" s="233"/>
      <c r="S942" s="233"/>
      <c r="T942" s="237"/>
      <c r="U942" s="233"/>
      <c r="V942" s="238"/>
      <c r="W942" s="238"/>
      <c r="AK942" s="242"/>
      <c r="AM942" s="236"/>
    </row>
    <row r="943" ht="14.25" customHeight="1">
      <c r="B943" s="233"/>
      <c r="D943" s="234"/>
      <c r="H943" s="235"/>
      <c r="K943" s="236"/>
      <c r="L943" s="237"/>
      <c r="M943" s="233"/>
      <c r="N943" s="233"/>
      <c r="O943" s="233"/>
      <c r="P943" s="233"/>
      <c r="Q943" s="233"/>
      <c r="R943" s="233"/>
      <c r="S943" s="233"/>
      <c r="T943" s="237"/>
      <c r="U943" s="233"/>
      <c r="V943" s="238"/>
      <c r="W943" s="238"/>
      <c r="AK943" s="242"/>
      <c r="AM943" s="236"/>
    </row>
    <row r="944" ht="14.25" customHeight="1">
      <c r="B944" s="233"/>
      <c r="D944" s="234"/>
      <c r="H944" s="235"/>
      <c r="K944" s="236"/>
      <c r="L944" s="237"/>
      <c r="M944" s="233"/>
      <c r="N944" s="233"/>
      <c r="O944" s="233"/>
      <c r="P944" s="233"/>
      <c r="Q944" s="233"/>
      <c r="R944" s="233"/>
      <c r="S944" s="233"/>
      <c r="T944" s="237"/>
      <c r="U944" s="233"/>
      <c r="V944" s="238"/>
      <c r="W944" s="238"/>
      <c r="AK944" s="242"/>
      <c r="AM944" s="236"/>
    </row>
    <row r="945" ht="14.25" customHeight="1">
      <c r="B945" s="233"/>
      <c r="D945" s="234"/>
      <c r="H945" s="235"/>
      <c r="K945" s="236"/>
      <c r="L945" s="237"/>
      <c r="M945" s="233"/>
      <c r="N945" s="233"/>
      <c r="O945" s="233"/>
      <c r="P945" s="233"/>
      <c r="Q945" s="233"/>
      <c r="R945" s="233"/>
      <c r="S945" s="233"/>
      <c r="T945" s="237"/>
      <c r="U945" s="233"/>
      <c r="V945" s="238"/>
      <c r="W945" s="238"/>
      <c r="AK945" s="242"/>
      <c r="AM945" s="236"/>
    </row>
    <row r="946" ht="14.25" customHeight="1">
      <c r="B946" s="233"/>
      <c r="D946" s="234"/>
      <c r="H946" s="235"/>
      <c r="K946" s="236"/>
      <c r="L946" s="237"/>
      <c r="M946" s="233"/>
      <c r="N946" s="233"/>
      <c r="O946" s="233"/>
      <c r="P946" s="233"/>
      <c r="Q946" s="233"/>
      <c r="R946" s="233"/>
      <c r="S946" s="233"/>
      <c r="T946" s="237"/>
      <c r="U946" s="233"/>
      <c r="V946" s="238"/>
      <c r="W946" s="238"/>
      <c r="AK946" s="242"/>
      <c r="AM946" s="236"/>
    </row>
    <row r="947" ht="14.25" customHeight="1">
      <c r="B947" s="233"/>
      <c r="D947" s="234"/>
      <c r="H947" s="235"/>
      <c r="K947" s="236"/>
      <c r="L947" s="237"/>
      <c r="M947" s="233"/>
      <c r="N947" s="233"/>
      <c r="O947" s="233"/>
      <c r="P947" s="233"/>
      <c r="Q947" s="233"/>
      <c r="R947" s="233"/>
      <c r="S947" s="233"/>
      <c r="T947" s="237"/>
      <c r="U947" s="233"/>
      <c r="V947" s="238"/>
      <c r="W947" s="238"/>
      <c r="AK947" s="242"/>
      <c r="AM947" s="236"/>
    </row>
    <row r="948" ht="14.25" customHeight="1">
      <c r="B948" s="233"/>
      <c r="D948" s="234"/>
      <c r="H948" s="235"/>
      <c r="K948" s="236"/>
      <c r="L948" s="237"/>
      <c r="M948" s="233"/>
      <c r="N948" s="233"/>
      <c r="O948" s="233"/>
      <c r="P948" s="233"/>
      <c r="Q948" s="233"/>
      <c r="R948" s="233"/>
      <c r="S948" s="233"/>
      <c r="T948" s="237"/>
      <c r="U948" s="233"/>
      <c r="V948" s="238"/>
      <c r="W948" s="238"/>
      <c r="AK948" s="242"/>
      <c r="AM948" s="236"/>
    </row>
    <row r="949" ht="14.25" customHeight="1">
      <c r="B949" s="233"/>
      <c r="D949" s="234"/>
      <c r="H949" s="235"/>
      <c r="K949" s="236"/>
      <c r="L949" s="237"/>
      <c r="M949" s="233"/>
      <c r="N949" s="233"/>
      <c r="O949" s="233"/>
      <c r="P949" s="233"/>
      <c r="Q949" s="233"/>
      <c r="R949" s="233"/>
      <c r="S949" s="233"/>
      <c r="T949" s="237"/>
      <c r="U949" s="233"/>
      <c r="V949" s="238"/>
      <c r="W949" s="238"/>
      <c r="AK949" s="242"/>
      <c r="AM949" s="236"/>
    </row>
    <row r="950" ht="14.25" customHeight="1">
      <c r="B950" s="233"/>
      <c r="D950" s="234"/>
      <c r="H950" s="235"/>
      <c r="K950" s="236"/>
      <c r="L950" s="237"/>
      <c r="M950" s="233"/>
      <c r="N950" s="233"/>
      <c r="O950" s="233"/>
      <c r="P950" s="233"/>
      <c r="Q950" s="233"/>
      <c r="R950" s="233"/>
      <c r="S950" s="233"/>
      <c r="T950" s="237"/>
      <c r="U950" s="233"/>
      <c r="V950" s="238"/>
      <c r="W950" s="238"/>
      <c r="AK950" s="242"/>
      <c r="AM950" s="236"/>
    </row>
    <row r="951" ht="14.25" customHeight="1">
      <c r="B951" s="233"/>
      <c r="D951" s="234"/>
      <c r="H951" s="235"/>
      <c r="K951" s="236"/>
      <c r="L951" s="237"/>
      <c r="M951" s="233"/>
      <c r="N951" s="233"/>
      <c r="O951" s="233"/>
      <c r="P951" s="233"/>
      <c r="Q951" s="233"/>
      <c r="R951" s="233"/>
      <c r="S951" s="233"/>
      <c r="T951" s="237"/>
      <c r="U951" s="233"/>
      <c r="V951" s="238"/>
      <c r="W951" s="238"/>
      <c r="AK951" s="242"/>
      <c r="AM951" s="236"/>
    </row>
    <row r="952" ht="14.25" customHeight="1">
      <c r="B952" s="233"/>
      <c r="D952" s="234"/>
      <c r="H952" s="235"/>
      <c r="K952" s="236"/>
      <c r="L952" s="237"/>
      <c r="M952" s="233"/>
      <c r="N952" s="233"/>
      <c r="O952" s="233"/>
      <c r="P952" s="233"/>
      <c r="Q952" s="233"/>
      <c r="R952" s="233"/>
      <c r="S952" s="233"/>
      <c r="T952" s="237"/>
      <c r="U952" s="233"/>
      <c r="V952" s="238"/>
      <c r="W952" s="238"/>
      <c r="AK952" s="242"/>
      <c r="AM952" s="236"/>
    </row>
    <row r="953" ht="14.25" customHeight="1">
      <c r="B953" s="233"/>
      <c r="D953" s="234"/>
      <c r="H953" s="235"/>
      <c r="K953" s="236"/>
      <c r="L953" s="237"/>
      <c r="M953" s="233"/>
      <c r="N953" s="233"/>
      <c r="O953" s="233"/>
      <c r="P953" s="233"/>
      <c r="Q953" s="233"/>
      <c r="R953" s="233"/>
      <c r="S953" s="233"/>
      <c r="T953" s="237"/>
      <c r="U953" s="233"/>
      <c r="V953" s="238"/>
      <c r="W953" s="238"/>
      <c r="AK953" s="242"/>
      <c r="AM953" s="236"/>
    </row>
    <row r="954" ht="14.25" customHeight="1">
      <c r="B954" s="233"/>
      <c r="D954" s="234"/>
      <c r="H954" s="235"/>
      <c r="K954" s="236"/>
      <c r="L954" s="237"/>
      <c r="M954" s="233"/>
      <c r="N954" s="233"/>
      <c r="O954" s="233"/>
      <c r="P954" s="233"/>
      <c r="Q954" s="233"/>
      <c r="R954" s="233"/>
      <c r="S954" s="233"/>
      <c r="T954" s="237"/>
      <c r="U954" s="233"/>
      <c r="V954" s="238"/>
      <c r="W954" s="238"/>
      <c r="AK954" s="242"/>
      <c r="AM954" s="236"/>
    </row>
    <row r="955" ht="14.25" customHeight="1">
      <c r="B955" s="233"/>
      <c r="D955" s="234"/>
      <c r="H955" s="235"/>
      <c r="K955" s="236"/>
      <c r="L955" s="237"/>
      <c r="M955" s="233"/>
      <c r="N955" s="233"/>
      <c r="O955" s="233"/>
      <c r="P955" s="233"/>
      <c r="Q955" s="233"/>
      <c r="R955" s="233"/>
      <c r="S955" s="233"/>
      <c r="T955" s="237"/>
      <c r="U955" s="233"/>
      <c r="V955" s="238"/>
      <c r="W955" s="238"/>
      <c r="AK955" s="242"/>
      <c r="AM955" s="236"/>
    </row>
    <row r="956" ht="14.25" customHeight="1">
      <c r="B956" s="233"/>
      <c r="D956" s="234"/>
      <c r="H956" s="235"/>
      <c r="K956" s="236"/>
      <c r="L956" s="237"/>
      <c r="M956" s="233"/>
      <c r="N956" s="233"/>
      <c r="O956" s="233"/>
      <c r="P956" s="233"/>
      <c r="Q956" s="233"/>
      <c r="R956" s="233"/>
      <c r="S956" s="233"/>
      <c r="T956" s="237"/>
      <c r="U956" s="233"/>
      <c r="V956" s="238"/>
      <c r="W956" s="238"/>
      <c r="AK956" s="242"/>
      <c r="AM956" s="236"/>
    </row>
    <row r="957" ht="14.25" customHeight="1">
      <c r="B957" s="233"/>
      <c r="D957" s="234"/>
      <c r="H957" s="235"/>
      <c r="K957" s="236"/>
      <c r="L957" s="237"/>
      <c r="M957" s="233"/>
      <c r="N957" s="233"/>
      <c r="O957" s="233"/>
      <c r="P957" s="233"/>
      <c r="Q957" s="233"/>
      <c r="R957" s="233"/>
      <c r="S957" s="233"/>
      <c r="T957" s="237"/>
      <c r="U957" s="233"/>
      <c r="V957" s="238"/>
      <c r="W957" s="238"/>
      <c r="AK957" s="242"/>
      <c r="AM957" s="236"/>
    </row>
    <row r="958" ht="14.25" customHeight="1">
      <c r="B958" s="233"/>
      <c r="D958" s="234"/>
      <c r="H958" s="235"/>
      <c r="K958" s="236"/>
      <c r="L958" s="237"/>
      <c r="M958" s="233"/>
      <c r="N958" s="233"/>
      <c r="O958" s="233"/>
      <c r="P958" s="233"/>
      <c r="Q958" s="233"/>
      <c r="R958" s="233"/>
      <c r="S958" s="233"/>
      <c r="T958" s="237"/>
      <c r="U958" s="233"/>
      <c r="V958" s="238"/>
      <c r="W958" s="238"/>
      <c r="AK958" s="242"/>
      <c r="AM958" s="236"/>
    </row>
    <row r="959" ht="14.25" customHeight="1">
      <c r="B959" s="233"/>
      <c r="D959" s="234"/>
      <c r="H959" s="235"/>
      <c r="K959" s="236"/>
      <c r="L959" s="237"/>
      <c r="M959" s="233"/>
      <c r="N959" s="233"/>
      <c r="O959" s="233"/>
      <c r="P959" s="233"/>
      <c r="Q959" s="233"/>
      <c r="R959" s="233"/>
      <c r="S959" s="233"/>
      <c r="T959" s="237"/>
      <c r="U959" s="233"/>
      <c r="V959" s="238"/>
      <c r="W959" s="238"/>
      <c r="AK959" s="242"/>
      <c r="AM959" s="236"/>
    </row>
    <row r="960" ht="14.25" customHeight="1">
      <c r="B960" s="233"/>
      <c r="D960" s="234"/>
      <c r="H960" s="235"/>
      <c r="K960" s="236"/>
      <c r="L960" s="237"/>
      <c r="M960" s="233"/>
      <c r="N960" s="233"/>
      <c r="O960" s="233"/>
      <c r="P960" s="233"/>
      <c r="Q960" s="233"/>
      <c r="R960" s="233"/>
      <c r="S960" s="233"/>
      <c r="T960" s="237"/>
      <c r="U960" s="233"/>
      <c r="V960" s="238"/>
      <c r="W960" s="238"/>
      <c r="AK960" s="242"/>
      <c r="AM960" s="236"/>
    </row>
    <row r="961" ht="14.25" customHeight="1">
      <c r="B961" s="233"/>
      <c r="D961" s="234"/>
      <c r="H961" s="235"/>
      <c r="K961" s="236"/>
      <c r="L961" s="237"/>
      <c r="M961" s="233"/>
      <c r="N961" s="233"/>
      <c r="O961" s="233"/>
      <c r="P961" s="233"/>
      <c r="Q961" s="233"/>
      <c r="R961" s="233"/>
      <c r="S961" s="233"/>
      <c r="T961" s="237"/>
      <c r="U961" s="233"/>
      <c r="V961" s="238"/>
      <c r="W961" s="238"/>
      <c r="AK961" s="242"/>
      <c r="AM961" s="236"/>
    </row>
    <row r="962" ht="14.25" customHeight="1">
      <c r="B962" s="233"/>
      <c r="D962" s="234"/>
      <c r="H962" s="235"/>
      <c r="K962" s="236"/>
      <c r="L962" s="237"/>
      <c r="M962" s="233"/>
      <c r="N962" s="233"/>
      <c r="O962" s="233"/>
      <c r="P962" s="233"/>
      <c r="Q962" s="233"/>
      <c r="R962" s="233"/>
      <c r="S962" s="233"/>
      <c r="T962" s="237"/>
      <c r="U962" s="233"/>
      <c r="V962" s="238"/>
      <c r="W962" s="238"/>
      <c r="AK962" s="242"/>
      <c r="AM962" s="236"/>
    </row>
    <row r="963" ht="14.25" customHeight="1">
      <c r="B963" s="233"/>
      <c r="D963" s="234"/>
      <c r="H963" s="235"/>
      <c r="K963" s="236"/>
      <c r="L963" s="237"/>
      <c r="M963" s="233"/>
      <c r="N963" s="233"/>
      <c r="O963" s="233"/>
      <c r="P963" s="233"/>
      <c r="Q963" s="233"/>
      <c r="R963" s="233"/>
      <c r="S963" s="233"/>
      <c r="T963" s="237"/>
      <c r="U963" s="233"/>
      <c r="V963" s="238"/>
      <c r="W963" s="238"/>
      <c r="AK963" s="242"/>
      <c r="AM963" s="236"/>
    </row>
    <row r="964" ht="14.25" customHeight="1">
      <c r="B964" s="233"/>
      <c r="D964" s="234"/>
      <c r="H964" s="235"/>
      <c r="K964" s="236"/>
      <c r="L964" s="237"/>
      <c r="M964" s="233"/>
      <c r="N964" s="233"/>
      <c r="O964" s="233"/>
      <c r="P964" s="233"/>
      <c r="Q964" s="233"/>
      <c r="R964" s="233"/>
      <c r="S964" s="233"/>
      <c r="T964" s="237"/>
      <c r="U964" s="233"/>
      <c r="V964" s="238"/>
      <c r="W964" s="238"/>
      <c r="AK964" s="242"/>
      <c r="AM964" s="236"/>
    </row>
    <row r="965" ht="14.25" customHeight="1">
      <c r="B965" s="233"/>
      <c r="D965" s="234"/>
      <c r="H965" s="235"/>
      <c r="K965" s="236"/>
      <c r="L965" s="237"/>
      <c r="M965" s="233"/>
      <c r="N965" s="233"/>
      <c r="O965" s="233"/>
      <c r="P965" s="233"/>
      <c r="Q965" s="233"/>
      <c r="R965" s="233"/>
      <c r="S965" s="233"/>
      <c r="T965" s="237"/>
      <c r="U965" s="233"/>
      <c r="V965" s="238"/>
      <c r="W965" s="238"/>
      <c r="AK965" s="242"/>
      <c r="AM965" s="236"/>
    </row>
    <row r="966" ht="14.25" customHeight="1">
      <c r="B966" s="233"/>
      <c r="D966" s="234"/>
      <c r="H966" s="235"/>
      <c r="K966" s="236"/>
      <c r="L966" s="237"/>
      <c r="M966" s="233"/>
      <c r="N966" s="233"/>
      <c r="O966" s="233"/>
      <c r="P966" s="233"/>
      <c r="Q966" s="233"/>
      <c r="R966" s="233"/>
      <c r="S966" s="233"/>
      <c r="T966" s="237"/>
      <c r="U966" s="233"/>
      <c r="V966" s="238"/>
      <c r="W966" s="238"/>
      <c r="AK966" s="242"/>
      <c r="AM966" s="236"/>
    </row>
    <row r="967" ht="14.25" customHeight="1">
      <c r="B967" s="233"/>
      <c r="D967" s="234"/>
      <c r="H967" s="235"/>
      <c r="K967" s="236"/>
      <c r="L967" s="237"/>
      <c r="M967" s="233"/>
      <c r="N967" s="233"/>
      <c r="O967" s="233"/>
      <c r="P967" s="233"/>
      <c r="Q967" s="233"/>
      <c r="R967" s="233"/>
      <c r="S967" s="233"/>
      <c r="T967" s="237"/>
      <c r="U967" s="233"/>
      <c r="V967" s="238"/>
      <c r="W967" s="238"/>
      <c r="AK967" s="242"/>
      <c r="AM967" s="236"/>
    </row>
    <row r="968" ht="14.25" customHeight="1">
      <c r="B968" s="233"/>
      <c r="D968" s="234"/>
      <c r="H968" s="235"/>
      <c r="K968" s="236"/>
      <c r="L968" s="237"/>
      <c r="M968" s="233"/>
      <c r="N968" s="233"/>
      <c r="O968" s="233"/>
      <c r="P968" s="233"/>
      <c r="Q968" s="233"/>
      <c r="R968" s="233"/>
      <c r="S968" s="233"/>
      <c r="T968" s="237"/>
      <c r="U968" s="233"/>
      <c r="V968" s="238"/>
      <c r="W968" s="238"/>
      <c r="AK968" s="242"/>
      <c r="AM968" s="236"/>
    </row>
    <row r="969" ht="14.25" customHeight="1">
      <c r="B969" s="233"/>
      <c r="D969" s="234"/>
      <c r="H969" s="235"/>
      <c r="K969" s="236"/>
      <c r="L969" s="237"/>
      <c r="M969" s="233"/>
      <c r="N969" s="233"/>
      <c r="O969" s="233"/>
      <c r="P969" s="233"/>
      <c r="Q969" s="233"/>
      <c r="R969" s="233"/>
      <c r="S969" s="233"/>
      <c r="T969" s="237"/>
      <c r="U969" s="233"/>
      <c r="V969" s="238"/>
      <c r="W969" s="238"/>
      <c r="AK969" s="242"/>
      <c r="AM969" s="236"/>
    </row>
    <row r="970" ht="14.25" customHeight="1">
      <c r="B970" s="233"/>
      <c r="D970" s="234"/>
      <c r="H970" s="235"/>
      <c r="K970" s="236"/>
      <c r="L970" s="237"/>
      <c r="M970" s="233"/>
      <c r="N970" s="233"/>
      <c r="O970" s="233"/>
      <c r="P970" s="233"/>
      <c r="Q970" s="233"/>
      <c r="R970" s="233"/>
      <c r="S970" s="233"/>
      <c r="T970" s="237"/>
      <c r="U970" s="233"/>
      <c r="V970" s="238"/>
      <c r="W970" s="238"/>
      <c r="AK970" s="242"/>
      <c r="AM970" s="236"/>
    </row>
    <row r="971" ht="14.25" customHeight="1">
      <c r="B971" s="233"/>
      <c r="D971" s="234"/>
      <c r="H971" s="235"/>
      <c r="K971" s="236"/>
      <c r="L971" s="237"/>
      <c r="M971" s="233"/>
      <c r="N971" s="233"/>
      <c r="O971" s="233"/>
      <c r="P971" s="233"/>
      <c r="Q971" s="233"/>
      <c r="R971" s="233"/>
      <c r="S971" s="233"/>
      <c r="T971" s="237"/>
      <c r="U971" s="233"/>
      <c r="V971" s="238"/>
      <c r="W971" s="238"/>
      <c r="AK971" s="242"/>
      <c r="AM971" s="236"/>
    </row>
    <row r="972" ht="14.25" customHeight="1">
      <c r="B972" s="233"/>
      <c r="D972" s="234"/>
      <c r="H972" s="235"/>
      <c r="K972" s="236"/>
      <c r="L972" s="237"/>
      <c r="M972" s="233"/>
      <c r="N972" s="233"/>
      <c r="O972" s="233"/>
      <c r="P972" s="233"/>
      <c r="Q972" s="233"/>
      <c r="R972" s="233"/>
      <c r="S972" s="233"/>
      <c r="T972" s="237"/>
      <c r="U972" s="233"/>
      <c r="V972" s="238"/>
      <c r="W972" s="238"/>
      <c r="AK972" s="242"/>
      <c r="AM972" s="236"/>
    </row>
    <row r="973" ht="14.25" customHeight="1">
      <c r="B973" s="233"/>
      <c r="D973" s="234"/>
      <c r="H973" s="235"/>
      <c r="K973" s="236"/>
      <c r="L973" s="237"/>
      <c r="M973" s="233"/>
      <c r="N973" s="233"/>
      <c r="O973" s="233"/>
      <c r="P973" s="233"/>
      <c r="Q973" s="233"/>
      <c r="R973" s="233"/>
      <c r="S973" s="233"/>
      <c r="T973" s="237"/>
      <c r="U973" s="233"/>
      <c r="V973" s="238"/>
      <c r="W973" s="238"/>
      <c r="AK973" s="242"/>
      <c r="AM973" s="236"/>
    </row>
    <row r="974" ht="14.25" customHeight="1">
      <c r="B974" s="233"/>
      <c r="D974" s="234"/>
      <c r="H974" s="235"/>
      <c r="K974" s="236"/>
      <c r="L974" s="237"/>
      <c r="M974" s="233"/>
      <c r="N974" s="233"/>
      <c r="O974" s="233"/>
      <c r="P974" s="233"/>
      <c r="Q974" s="233"/>
      <c r="R974" s="233"/>
      <c r="S974" s="233"/>
      <c r="T974" s="237"/>
      <c r="U974" s="233"/>
      <c r="V974" s="238"/>
      <c r="W974" s="238"/>
      <c r="AK974" s="242"/>
      <c r="AM974" s="236"/>
    </row>
    <row r="975" ht="14.25" customHeight="1">
      <c r="B975" s="233"/>
      <c r="D975" s="234"/>
      <c r="H975" s="235"/>
      <c r="K975" s="236"/>
      <c r="L975" s="237"/>
      <c r="M975" s="233"/>
      <c r="N975" s="233"/>
      <c r="O975" s="233"/>
      <c r="P975" s="233"/>
      <c r="Q975" s="233"/>
      <c r="R975" s="233"/>
      <c r="S975" s="233"/>
      <c r="T975" s="237"/>
      <c r="U975" s="233"/>
      <c r="V975" s="238"/>
      <c r="W975" s="238"/>
      <c r="AK975" s="242"/>
      <c r="AM975" s="236"/>
    </row>
    <row r="976" ht="14.25" customHeight="1">
      <c r="B976" s="233"/>
      <c r="D976" s="234"/>
      <c r="H976" s="235"/>
      <c r="K976" s="236"/>
      <c r="L976" s="237"/>
      <c r="M976" s="233"/>
      <c r="N976" s="233"/>
      <c r="O976" s="233"/>
      <c r="P976" s="233"/>
      <c r="Q976" s="233"/>
      <c r="R976" s="233"/>
      <c r="S976" s="233"/>
      <c r="T976" s="237"/>
      <c r="U976" s="233"/>
      <c r="V976" s="238"/>
      <c r="W976" s="238"/>
      <c r="AK976" s="242"/>
      <c r="AM976" s="236"/>
    </row>
    <row r="977" ht="14.25" customHeight="1">
      <c r="B977" s="233"/>
      <c r="D977" s="234"/>
      <c r="H977" s="235"/>
      <c r="K977" s="236"/>
      <c r="L977" s="237"/>
      <c r="M977" s="233"/>
      <c r="N977" s="233"/>
      <c r="O977" s="233"/>
      <c r="P977" s="233"/>
      <c r="Q977" s="233"/>
      <c r="R977" s="233"/>
      <c r="S977" s="233"/>
      <c r="T977" s="237"/>
      <c r="U977" s="233"/>
      <c r="V977" s="238"/>
      <c r="W977" s="238"/>
      <c r="AK977" s="242"/>
      <c r="AM977" s="236"/>
    </row>
    <row r="978" ht="14.25" customHeight="1">
      <c r="B978" s="233"/>
      <c r="D978" s="234"/>
      <c r="H978" s="235"/>
      <c r="K978" s="236"/>
      <c r="L978" s="237"/>
      <c r="M978" s="233"/>
      <c r="N978" s="233"/>
      <c r="O978" s="233"/>
      <c r="P978" s="233"/>
      <c r="Q978" s="233"/>
      <c r="R978" s="233"/>
      <c r="S978" s="233"/>
      <c r="T978" s="237"/>
      <c r="U978" s="233"/>
      <c r="V978" s="238"/>
      <c r="W978" s="238"/>
      <c r="AK978" s="242"/>
      <c r="AM978" s="236"/>
    </row>
    <row r="979" ht="14.25" customHeight="1">
      <c r="B979" s="233"/>
      <c r="D979" s="234"/>
      <c r="H979" s="235"/>
      <c r="K979" s="236"/>
      <c r="L979" s="237"/>
      <c r="M979" s="233"/>
      <c r="N979" s="233"/>
      <c r="O979" s="233"/>
      <c r="P979" s="233"/>
      <c r="Q979" s="233"/>
      <c r="R979" s="233"/>
      <c r="S979" s="233"/>
      <c r="T979" s="237"/>
      <c r="U979" s="233"/>
      <c r="V979" s="238"/>
      <c r="W979" s="238"/>
      <c r="AK979" s="242"/>
      <c r="AM979" s="236"/>
    </row>
    <row r="980" ht="14.25" customHeight="1">
      <c r="B980" s="233"/>
      <c r="D980" s="234"/>
      <c r="H980" s="235"/>
      <c r="K980" s="236"/>
      <c r="L980" s="237"/>
      <c r="M980" s="233"/>
      <c r="N980" s="233"/>
      <c r="O980" s="233"/>
      <c r="P980" s="233"/>
      <c r="Q980" s="233"/>
      <c r="R980" s="233"/>
      <c r="S980" s="233"/>
      <c r="T980" s="237"/>
      <c r="U980" s="233"/>
      <c r="V980" s="238"/>
      <c r="W980" s="238"/>
      <c r="AK980" s="242"/>
      <c r="AM980" s="236"/>
    </row>
    <row r="981" ht="14.25" customHeight="1">
      <c r="B981" s="233"/>
      <c r="D981" s="234"/>
      <c r="H981" s="235"/>
      <c r="K981" s="236"/>
      <c r="L981" s="237"/>
      <c r="M981" s="233"/>
      <c r="N981" s="233"/>
      <c r="O981" s="233"/>
      <c r="P981" s="233"/>
      <c r="Q981" s="233"/>
      <c r="R981" s="233"/>
      <c r="S981" s="233"/>
      <c r="T981" s="237"/>
      <c r="U981" s="233"/>
      <c r="V981" s="238"/>
      <c r="W981" s="238"/>
      <c r="AK981" s="242"/>
      <c r="AM981" s="236"/>
    </row>
    <row r="982" ht="14.25" customHeight="1">
      <c r="B982" s="233"/>
      <c r="D982" s="234"/>
      <c r="H982" s="235"/>
      <c r="K982" s="236"/>
      <c r="L982" s="237"/>
      <c r="M982" s="233"/>
      <c r="N982" s="233"/>
      <c r="O982" s="233"/>
      <c r="P982" s="233"/>
      <c r="Q982" s="233"/>
      <c r="R982" s="233"/>
      <c r="S982" s="233"/>
      <c r="T982" s="237"/>
      <c r="U982" s="233"/>
      <c r="V982" s="238"/>
      <c r="W982" s="238"/>
      <c r="AK982" s="242"/>
      <c r="AM982" s="236"/>
    </row>
    <row r="983" ht="14.25" customHeight="1">
      <c r="B983" s="233"/>
      <c r="D983" s="234"/>
      <c r="H983" s="235"/>
      <c r="K983" s="236"/>
      <c r="L983" s="237"/>
      <c r="M983" s="233"/>
      <c r="N983" s="233"/>
      <c r="O983" s="233"/>
      <c r="P983" s="233"/>
      <c r="Q983" s="233"/>
      <c r="R983" s="233"/>
      <c r="S983" s="233"/>
      <c r="T983" s="237"/>
      <c r="U983" s="233"/>
      <c r="V983" s="238"/>
      <c r="W983" s="238"/>
      <c r="AK983" s="242"/>
      <c r="AM983" s="236"/>
    </row>
    <row r="984" ht="14.25" customHeight="1">
      <c r="B984" s="233"/>
      <c r="D984" s="234"/>
      <c r="H984" s="235"/>
      <c r="K984" s="236"/>
      <c r="L984" s="237"/>
      <c r="M984" s="233"/>
      <c r="N984" s="233"/>
      <c r="O984" s="233"/>
      <c r="P984" s="233"/>
      <c r="Q984" s="233"/>
      <c r="R984" s="233"/>
      <c r="S984" s="233"/>
      <c r="T984" s="237"/>
      <c r="U984" s="233"/>
      <c r="V984" s="238"/>
      <c r="W984" s="238"/>
      <c r="AK984" s="242"/>
      <c r="AM984" s="236"/>
    </row>
    <row r="985" ht="14.25" customHeight="1">
      <c r="B985" s="233"/>
      <c r="D985" s="234"/>
      <c r="H985" s="235"/>
      <c r="K985" s="236"/>
      <c r="L985" s="237"/>
      <c r="M985" s="233"/>
      <c r="N985" s="233"/>
      <c r="O985" s="233"/>
      <c r="P985" s="233"/>
      <c r="Q985" s="233"/>
      <c r="R985" s="233"/>
      <c r="S985" s="233"/>
      <c r="T985" s="237"/>
      <c r="U985" s="233"/>
      <c r="V985" s="238"/>
      <c r="W985" s="238"/>
      <c r="AK985" s="242"/>
      <c r="AM985" s="236"/>
    </row>
    <row r="986" ht="14.25" customHeight="1">
      <c r="B986" s="233"/>
      <c r="D986" s="234"/>
      <c r="H986" s="235"/>
      <c r="K986" s="236"/>
      <c r="L986" s="237"/>
      <c r="M986" s="233"/>
      <c r="N986" s="233"/>
      <c r="O986" s="233"/>
      <c r="P986" s="233"/>
      <c r="Q986" s="233"/>
      <c r="R986" s="233"/>
      <c r="S986" s="233"/>
      <c r="T986" s="237"/>
      <c r="U986" s="233"/>
      <c r="V986" s="238"/>
      <c r="W986" s="238"/>
      <c r="AK986" s="242"/>
      <c r="AM986" s="236"/>
    </row>
    <row r="987" ht="14.25" customHeight="1">
      <c r="B987" s="233"/>
      <c r="D987" s="234"/>
      <c r="H987" s="235"/>
      <c r="K987" s="236"/>
      <c r="L987" s="237"/>
      <c r="M987" s="233"/>
      <c r="N987" s="233"/>
      <c r="O987" s="233"/>
      <c r="P987" s="233"/>
      <c r="Q987" s="233"/>
      <c r="R987" s="233"/>
      <c r="S987" s="233"/>
      <c r="T987" s="237"/>
      <c r="U987" s="233"/>
      <c r="V987" s="238"/>
      <c r="W987" s="238"/>
      <c r="AK987" s="242"/>
      <c r="AM987" s="236"/>
    </row>
    <row r="988" ht="14.25" customHeight="1">
      <c r="B988" s="233"/>
      <c r="D988" s="234"/>
      <c r="H988" s="235"/>
      <c r="K988" s="236"/>
      <c r="L988" s="237"/>
      <c r="M988" s="233"/>
      <c r="N988" s="233"/>
      <c r="O988" s="233"/>
      <c r="P988" s="233"/>
      <c r="Q988" s="233"/>
      <c r="R988" s="233"/>
      <c r="S988" s="233"/>
      <c r="T988" s="237"/>
      <c r="U988" s="233"/>
      <c r="V988" s="238"/>
      <c r="W988" s="238"/>
      <c r="AK988" s="242"/>
      <c r="AM988" s="236"/>
    </row>
    <row r="989" ht="14.25" customHeight="1">
      <c r="B989" s="233"/>
      <c r="D989" s="234"/>
      <c r="H989" s="235"/>
      <c r="K989" s="236"/>
      <c r="L989" s="237"/>
      <c r="M989" s="233"/>
      <c r="N989" s="233"/>
      <c r="O989" s="233"/>
      <c r="P989" s="233"/>
      <c r="Q989" s="233"/>
      <c r="R989" s="233"/>
      <c r="S989" s="233"/>
      <c r="T989" s="237"/>
      <c r="U989" s="233"/>
      <c r="V989" s="238"/>
      <c r="W989" s="238"/>
      <c r="AK989" s="242"/>
      <c r="AM989" s="236"/>
    </row>
    <row r="990" ht="14.25" customHeight="1">
      <c r="B990" s="233"/>
      <c r="D990" s="234"/>
      <c r="H990" s="235"/>
      <c r="K990" s="236"/>
      <c r="L990" s="237"/>
      <c r="M990" s="233"/>
      <c r="N990" s="233"/>
      <c r="O990" s="233"/>
      <c r="P990" s="233"/>
      <c r="Q990" s="233"/>
      <c r="R990" s="233"/>
      <c r="S990" s="233"/>
      <c r="T990" s="237"/>
      <c r="U990" s="233"/>
      <c r="V990" s="238"/>
      <c r="W990" s="238"/>
      <c r="AK990" s="242"/>
      <c r="AM990" s="236"/>
    </row>
    <row r="991" ht="14.25" customHeight="1">
      <c r="B991" s="233"/>
      <c r="D991" s="234"/>
      <c r="H991" s="235"/>
      <c r="K991" s="236"/>
      <c r="L991" s="237"/>
      <c r="M991" s="233"/>
      <c r="N991" s="233"/>
      <c r="O991" s="233"/>
      <c r="P991" s="233"/>
      <c r="Q991" s="233"/>
      <c r="R991" s="233"/>
      <c r="S991" s="233"/>
      <c r="T991" s="237"/>
      <c r="U991" s="233"/>
      <c r="V991" s="238"/>
      <c r="W991" s="238"/>
      <c r="AK991" s="242"/>
      <c r="AM991" s="236"/>
    </row>
    <row r="992" ht="14.25" customHeight="1">
      <c r="B992" s="233"/>
      <c r="D992" s="234"/>
      <c r="H992" s="235"/>
      <c r="K992" s="236"/>
      <c r="L992" s="237"/>
      <c r="M992" s="233"/>
      <c r="N992" s="233"/>
      <c r="O992" s="233"/>
      <c r="P992" s="233"/>
      <c r="Q992" s="233"/>
      <c r="R992" s="233"/>
      <c r="S992" s="233"/>
      <c r="T992" s="237"/>
      <c r="U992" s="233"/>
      <c r="V992" s="238"/>
      <c r="W992" s="238"/>
      <c r="AK992" s="242"/>
      <c r="AM992" s="236"/>
    </row>
    <row r="993" ht="14.25" customHeight="1">
      <c r="B993" s="233"/>
      <c r="D993" s="234"/>
      <c r="H993" s="235"/>
      <c r="K993" s="236"/>
      <c r="L993" s="237"/>
      <c r="M993" s="233"/>
      <c r="N993" s="233"/>
      <c r="O993" s="233"/>
      <c r="P993" s="233"/>
      <c r="Q993" s="233"/>
      <c r="R993" s="233"/>
      <c r="S993" s="233"/>
      <c r="T993" s="237"/>
      <c r="U993" s="233"/>
      <c r="V993" s="238"/>
      <c r="W993" s="238"/>
      <c r="AK993" s="242"/>
      <c r="AM993" s="236"/>
    </row>
    <row r="994" ht="14.25" customHeight="1">
      <c r="B994" s="233"/>
      <c r="D994" s="234"/>
      <c r="H994" s="235"/>
      <c r="K994" s="236"/>
      <c r="L994" s="237"/>
      <c r="M994" s="233"/>
      <c r="N994" s="233"/>
      <c r="O994" s="233"/>
      <c r="P994" s="233"/>
      <c r="Q994" s="233"/>
      <c r="R994" s="233"/>
      <c r="S994" s="233"/>
      <c r="T994" s="237"/>
      <c r="U994" s="233"/>
      <c r="V994" s="238"/>
      <c r="W994" s="238"/>
      <c r="AK994" s="242"/>
      <c r="AM994" s="236"/>
    </row>
    <row r="995" ht="14.25" customHeight="1">
      <c r="B995" s="233"/>
      <c r="D995" s="234"/>
      <c r="H995" s="235"/>
      <c r="K995" s="236"/>
      <c r="L995" s="237"/>
      <c r="M995" s="233"/>
      <c r="N995" s="233"/>
      <c r="O995" s="233"/>
      <c r="P995" s="233"/>
      <c r="Q995" s="233"/>
      <c r="R995" s="233"/>
      <c r="S995" s="233"/>
      <c r="T995" s="237"/>
      <c r="U995" s="233"/>
      <c r="V995" s="238"/>
      <c r="W995" s="238"/>
      <c r="AK995" s="242"/>
      <c r="AM995" s="236"/>
    </row>
    <row r="996" ht="14.25" customHeight="1">
      <c r="B996" s="233"/>
      <c r="D996" s="234"/>
      <c r="H996" s="235"/>
      <c r="K996" s="236"/>
      <c r="L996" s="237"/>
      <c r="M996" s="233"/>
      <c r="N996" s="233"/>
      <c r="O996" s="233"/>
      <c r="P996" s="233"/>
      <c r="Q996" s="233"/>
      <c r="R996" s="233"/>
      <c r="S996" s="233"/>
      <c r="T996" s="237"/>
      <c r="U996" s="233"/>
      <c r="V996" s="238"/>
      <c r="W996" s="238"/>
      <c r="AK996" s="242"/>
      <c r="AM996" s="236"/>
    </row>
    <row r="997" ht="14.25" customHeight="1">
      <c r="B997" s="233"/>
      <c r="D997" s="234"/>
      <c r="H997" s="235"/>
      <c r="K997" s="236"/>
      <c r="L997" s="237"/>
      <c r="M997" s="233"/>
      <c r="N997" s="233"/>
      <c r="O997" s="233"/>
      <c r="P997" s="233"/>
      <c r="Q997" s="233"/>
      <c r="R997" s="233"/>
      <c r="S997" s="233"/>
      <c r="T997" s="237"/>
      <c r="U997" s="233"/>
      <c r="V997" s="238"/>
      <c r="W997" s="238"/>
      <c r="AK997" s="242"/>
      <c r="AM997" s="236"/>
    </row>
    <row r="998" ht="14.25" customHeight="1">
      <c r="B998" s="233"/>
      <c r="D998" s="234"/>
      <c r="H998" s="235"/>
      <c r="K998" s="236"/>
      <c r="L998" s="237"/>
      <c r="M998" s="233"/>
      <c r="N998" s="233"/>
      <c r="O998" s="233"/>
      <c r="P998" s="233"/>
      <c r="Q998" s="233"/>
      <c r="R998" s="233"/>
      <c r="S998" s="233"/>
      <c r="T998" s="237"/>
      <c r="U998" s="233"/>
      <c r="V998" s="238"/>
      <c r="W998" s="238"/>
      <c r="AK998" s="242"/>
      <c r="AM998" s="236"/>
    </row>
    <row r="999" ht="14.25" customHeight="1">
      <c r="B999" s="233"/>
      <c r="D999" s="234"/>
      <c r="H999" s="235"/>
      <c r="K999" s="236"/>
      <c r="L999" s="237"/>
      <c r="M999" s="233"/>
      <c r="N999" s="233"/>
      <c r="O999" s="233"/>
      <c r="P999" s="233"/>
      <c r="Q999" s="233"/>
      <c r="R999" s="233"/>
      <c r="S999" s="233"/>
      <c r="T999" s="237"/>
      <c r="U999" s="233"/>
      <c r="V999" s="238"/>
      <c r="W999" s="238"/>
      <c r="AK999" s="242"/>
      <c r="AM999" s="236"/>
    </row>
    <row r="1000" ht="14.25" customHeight="1">
      <c r="B1000" s="233"/>
      <c r="D1000" s="234"/>
      <c r="H1000" s="235"/>
      <c r="K1000" s="236"/>
      <c r="L1000" s="237"/>
      <c r="M1000" s="233"/>
      <c r="N1000" s="233"/>
      <c r="O1000" s="233"/>
      <c r="P1000" s="233"/>
      <c r="Q1000" s="233"/>
      <c r="R1000" s="233"/>
      <c r="S1000" s="233"/>
      <c r="T1000" s="237"/>
      <c r="U1000" s="233"/>
      <c r="V1000" s="238"/>
      <c r="W1000" s="238"/>
      <c r="AK1000" s="242"/>
      <c r="AM1000" s="236"/>
    </row>
    <row r="1001" ht="14.25" customHeight="1">
      <c r="B1001" s="233"/>
      <c r="D1001" s="234"/>
      <c r="H1001" s="235"/>
      <c r="K1001" s="236"/>
      <c r="L1001" s="237"/>
      <c r="M1001" s="233"/>
      <c r="N1001" s="233"/>
      <c r="O1001" s="233"/>
      <c r="P1001" s="233"/>
      <c r="Q1001" s="233"/>
      <c r="R1001" s="233"/>
      <c r="S1001" s="233"/>
      <c r="T1001" s="237"/>
      <c r="U1001" s="233"/>
      <c r="V1001" s="238"/>
      <c r="W1001" s="238"/>
      <c r="AK1001" s="242"/>
      <c r="AM1001" s="236"/>
    </row>
    <row r="1002" ht="14.25" customHeight="1">
      <c r="B1002" s="233"/>
      <c r="D1002" s="234"/>
      <c r="H1002" s="235"/>
      <c r="K1002" s="236"/>
      <c r="L1002" s="237"/>
      <c r="M1002" s="233"/>
      <c r="N1002" s="233"/>
      <c r="O1002" s="233"/>
      <c r="P1002" s="233"/>
      <c r="Q1002" s="233"/>
      <c r="R1002" s="233"/>
      <c r="S1002" s="233"/>
      <c r="T1002" s="237"/>
      <c r="U1002" s="233"/>
      <c r="V1002" s="238"/>
      <c r="W1002" s="238"/>
      <c r="AK1002" s="242"/>
      <c r="AM1002" s="236"/>
    </row>
    <row r="1003" ht="14.25" customHeight="1">
      <c r="B1003" s="233"/>
      <c r="D1003" s="234"/>
      <c r="H1003" s="235"/>
      <c r="K1003" s="236"/>
      <c r="L1003" s="237"/>
      <c r="M1003" s="233"/>
      <c r="N1003" s="233"/>
      <c r="O1003" s="233"/>
      <c r="P1003" s="233"/>
      <c r="Q1003" s="233"/>
      <c r="R1003" s="233"/>
      <c r="S1003" s="233"/>
      <c r="T1003" s="237"/>
      <c r="U1003" s="233"/>
      <c r="V1003" s="238"/>
      <c r="W1003" s="238"/>
      <c r="AK1003" s="242"/>
      <c r="AM1003" s="236"/>
    </row>
    <row r="1004" ht="14.25" customHeight="1">
      <c r="B1004" s="233"/>
      <c r="D1004" s="234"/>
      <c r="H1004" s="235"/>
      <c r="K1004" s="236"/>
      <c r="L1004" s="237"/>
      <c r="M1004" s="233"/>
      <c r="N1004" s="233"/>
      <c r="O1004" s="233"/>
      <c r="P1004" s="233"/>
      <c r="Q1004" s="233"/>
      <c r="R1004" s="233"/>
      <c r="S1004" s="233"/>
      <c r="T1004" s="237"/>
      <c r="U1004" s="233"/>
      <c r="V1004" s="238"/>
      <c r="W1004" s="238"/>
      <c r="AK1004" s="242"/>
      <c r="AM1004" s="236"/>
    </row>
    <row r="1005" ht="14.25" customHeight="1">
      <c r="B1005" s="233"/>
      <c r="D1005" s="234"/>
      <c r="H1005" s="235"/>
      <c r="K1005" s="236"/>
      <c r="L1005" s="237"/>
      <c r="M1005" s="233"/>
      <c r="N1005" s="233"/>
      <c r="O1005" s="233"/>
      <c r="P1005" s="233"/>
      <c r="Q1005" s="233"/>
      <c r="R1005" s="233"/>
      <c r="S1005" s="233"/>
      <c r="T1005" s="237"/>
      <c r="U1005" s="233"/>
      <c r="V1005" s="238"/>
      <c r="W1005" s="238"/>
      <c r="AK1005" s="242"/>
      <c r="AM1005" s="236"/>
    </row>
    <row r="1006" ht="14.25" customHeight="1">
      <c r="B1006" s="233"/>
      <c r="D1006" s="234"/>
      <c r="H1006" s="235"/>
      <c r="K1006" s="236"/>
      <c r="L1006" s="237"/>
      <c r="M1006" s="233"/>
      <c r="N1006" s="233"/>
      <c r="O1006" s="233"/>
      <c r="P1006" s="233"/>
      <c r="Q1006" s="233"/>
      <c r="R1006" s="233"/>
      <c r="S1006" s="233"/>
      <c r="T1006" s="237"/>
      <c r="U1006" s="233"/>
      <c r="V1006" s="238"/>
      <c r="W1006" s="238"/>
      <c r="AK1006" s="242"/>
      <c r="AM1006" s="236"/>
    </row>
    <row r="1007" ht="14.25" customHeight="1">
      <c r="B1007" s="233"/>
      <c r="D1007" s="234"/>
      <c r="H1007" s="235"/>
      <c r="K1007" s="236"/>
      <c r="L1007" s="237"/>
      <c r="M1007" s="233"/>
      <c r="N1007" s="233"/>
      <c r="O1007" s="233"/>
      <c r="P1007" s="233"/>
      <c r="Q1007" s="233"/>
      <c r="R1007" s="233"/>
      <c r="S1007" s="233"/>
      <c r="T1007" s="237"/>
      <c r="U1007" s="233"/>
      <c r="V1007" s="238"/>
      <c r="W1007" s="238"/>
      <c r="AK1007" s="242"/>
      <c r="AM1007" s="236"/>
    </row>
    <row r="1008" ht="14.25" customHeight="1">
      <c r="B1008" s="233"/>
      <c r="D1008" s="234"/>
      <c r="H1008" s="235"/>
      <c r="K1008" s="236"/>
      <c r="L1008" s="237"/>
      <c r="M1008" s="233"/>
      <c r="N1008" s="233"/>
      <c r="O1008" s="233"/>
      <c r="P1008" s="233"/>
      <c r="Q1008" s="233"/>
      <c r="R1008" s="233"/>
      <c r="S1008" s="233"/>
      <c r="T1008" s="237"/>
      <c r="U1008" s="233"/>
      <c r="V1008" s="238"/>
      <c r="W1008" s="238"/>
      <c r="AK1008" s="242"/>
      <c r="AM1008" s="236"/>
    </row>
    <row r="1009" ht="14.25" customHeight="1">
      <c r="B1009" s="233"/>
      <c r="D1009" s="234"/>
      <c r="H1009" s="235"/>
      <c r="K1009" s="236"/>
      <c r="L1009" s="237"/>
      <c r="M1009" s="233"/>
      <c r="N1009" s="233"/>
      <c r="O1009" s="233"/>
      <c r="P1009" s="233"/>
      <c r="Q1009" s="233"/>
      <c r="R1009" s="233"/>
      <c r="S1009" s="233"/>
      <c r="T1009" s="237"/>
      <c r="U1009" s="233"/>
      <c r="V1009" s="238"/>
      <c r="W1009" s="238"/>
      <c r="AK1009" s="242"/>
      <c r="AM1009" s="236"/>
    </row>
    <row r="1010" ht="14.25" customHeight="1">
      <c r="B1010" s="233"/>
      <c r="D1010" s="234"/>
      <c r="H1010" s="235"/>
      <c r="K1010" s="236"/>
      <c r="L1010" s="237"/>
      <c r="M1010" s="233"/>
      <c r="N1010" s="233"/>
      <c r="O1010" s="233"/>
      <c r="P1010" s="233"/>
      <c r="Q1010" s="233"/>
      <c r="R1010" s="233"/>
      <c r="S1010" s="233"/>
      <c r="T1010" s="237"/>
      <c r="U1010" s="233"/>
      <c r="V1010" s="238"/>
      <c r="W1010" s="238"/>
      <c r="AK1010" s="242"/>
      <c r="AM1010" s="236"/>
    </row>
    <row r="1011" ht="14.25" customHeight="1">
      <c r="B1011" s="233"/>
      <c r="D1011" s="234"/>
      <c r="H1011" s="235"/>
      <c r="K1011" s="236"/>
      <c r="L1011" s="237"/>
      <c r="M1011" s="233"/>
      <c r="N1011" s="233"/>
      <c r="O1011" s="233"/>
      <c r="P1011" s="233"/>
      <c r="Q1011" s="233"/>
      <c r="R1011" s="233"/>
      <c r="S1011" s="233"/>
      <c r="T1011" s="237"/>
      <c r="U1011" s="233"/>
      <c r="V1011" s="238"/>
      <c r="W1011" s="238"/>
      <c r="AK1011" s="242"/>
      <c r="AM1011" s="236"/>
    </row>
    <row r="1012" ht="14.25" customHeight="1">
      <c r="B1012" s="233"/>
      <c r="D1012" s="234"/>
      <c r="H1012" s="235"/>
      <c r="K1012" s="236"/>
      <c r="L1012" s="237"/>
      <c r="M1012" s="233"/>
      <c r="N1012" s="233"/>
      <c r="O1012" s="233"/>
      <c r="P1012" s="233"/>
      <c r="Q1012" s="233"/>
      <c r="R1012" s="233"/>
      <c r="S1012" s="233"/>
      <c r="T1012" s="237"/>
      <c r="U1012" s="233"/>
      <c r="V1012" s="238"/>
      <c r="W1012" s="238"/>
      <c r="AK1012" s="242"/>
      <c r="AM1012" s="236"/>
    </row>
  </sheetData>
  <conditionalFormatting sqref="AG2:AG115">
    <cfRule type="cellIs" dxfId="5" priority="1" operator="lessThan">
      <formula>0</formula>
    </cfRule>
  </conditionalFormatting>
  <conditionalFormatting sqref="AG2:AG115">
    <cfRule type="cellIs" dxfId="6" priority="2" operator="greaterThan">
      <formula>0</formula>
    </cfRule>
  </conditionalFormatting>
  <conditionalFormatting sqref="AH2:AH115">
    <cfRule type="cellIs" dxfId="5" priority="3" operator="greaterThan">
      <formula>1</formula>
    </cfRule>
  </conditionalFormatting>
  <conditionalFormatting sqref="AH2:AH115">
    <cfRule type="cellIs" dxfId="7" priority="4" operator="between">
      <formula>0.4</formula>
      <formula>1</formula>
    </cfRule>
  </conditionalFormatting>
  <conditionalFormatting sqref="AH2:AH115">
    <cfRule type="cellIs" dxfId="6" priority="5" operator="between">
      <formula>0</formula>
      <formula>0.4</formula>
    </cfRule>
  </conditionalFormatting>
  <conditionalFormatting sqref="AI2:AI115">
    <cfRule type="containsText" dxfId="5" priority="6" operator="containsText" text="Critical">
      <formula>NOT(ISERROR(SEARCH(("Critical"),(AI2))))</formula>
    </cfRule>
  </conditionalFormatting>
  <conditionalFormatting sqref="AI2:AI115">
    <cfRule type="containsText" dxfId="7" priority="7" operator="containsText" text="Approval Required">
      <formula>NOT(ISERROR(SEARCH(("Approval Required"),(AI2))))</formula>
    </cfRule>
  </conditionalFormatting>
  <conditionalFormatting sqref="AI2:AI115">
    <cfRule type="containsText" dxfId="6" priority="8" operator="containsText" text="Auto-Approved">
      <formula>NOT(ISERROR(SEARCH(("Auto-Approved"),(AI2))))</formula>
    </cfRule>
  </conditionalFormatting>
  <conditionalFormatting sqref="AO2:AO115">
    <cfRule type="containsText" dxfId="6" priority="9" operator="containsText" text="Approved">
      <formula>NOT(ISERROR(SEARCH(("Approved"),(AO2))))</formula>
    </cfRule>
  </conditionalFormatting>
  <conditionalFormatting sqref="AO2:AO115">
    <cfRule type="containsText" dxfId="8" priority="10" operator="containsText" text="Rejected">
      <formula>NOT(ISERROR(SEARCH(("Rejected"),(AO2))))</formula>
    </cfRule>
  </conditionalFormatting>
  <conditionalFormatting sqref="AO2:AO115">
    <cfRule type="containsText" dxfId="7" priority="11" operator="containsText" text="Awaiting">
      <formula>NOT(ISERROR(SEARCH(("Awaiting"),(AO2))))</formula>
    </cfRule>
  </conditionalFormatting>
  <conditionalFormatting sqref="AO2:AO115">
    <cfRule type="containsText" dxfId="7" priority="12" operator="containsText" text="Under Review">
      <formula>NOT(ISERROR(SEARCH(("Under Review"),(AO2))))</formula>
    </cfRule>
  </conditionalFormatting>
  <conditionalFormatting sqref="AO2:AO115">
    <cfRule type="containsText" dxfId="9" priority="13" operator="containsText" text="Escalated">
      <formula>NOT(ISERROR(SEARCH(("Escalated"),(AO2))))</formula>
    </cfRule>
  </conditionalFormatting>
  <conditionalFormatting sqref="AH2:AH115">
    <cfRule type="cellIs" dxfId="10" priority="14" operator="greaterThan">
      <formula>0.5</formula>
    </cfRule>
  </conditionalFormatting>
  <conditionalFormatting sqref="AH2:AH115">
    <cfRule type="cellIs" dxfId="11" priority="15" operator="between">
      <formula>0.4</formula>
      <formula>0.5</formula>
    </cfRule>
  </conditionalFormatting>
  <conditionalFormatting sqref="AH2:AH115">
    <cfRule type="cellIs" dxfId="12" priority="16" operator="between">
      <formula>0</formula>
      <formula>0.4</formula>
    </cfRule>
  </conditionalFormatting>
  <conditionalFormatting sqref="AG2:AG115">
    <cfRule type="cellIs" dxfId="12" priority="17" operator="greaterThan">
      <formula>0</formula>
    </cfRule>
  </conditionalFormatting>
  <conditionalFormatting sqref="AG2:AG115">
    <cfRule type="cellIs" dxfId="10" priority="18" operator="lessThan">
      <formula>0</formula>
    </cfRule>
  </conditionalFormatting>
  <conditionalFormatting sqref="AI2:AI115">
    <cfRule type="containsText" dxfId="12" priority="19" operator="containsText" text="Auto-Approved">
      <formula>NOT(ISERROR(SEARCH(("Auto-Approved"),(AI2))))</formula>
    </cfRule>
  </conditionalFormatting>
  <conditionalFormatting sqref="AI2:AI115">
    <cfRule type="containsText" dxfId="11" priority="20" operator="containsText" text="Approval Required">
      <formula>NOT(ISERROR(SEARCH(("Approval Required"),(AI2))))</formula>
    </cfRule>
  </conditionalFormatting>
  <conditionalFormatting sqref="AI2:AI115">
    <cfRule type="containsText" dxfId="10" priority="21" operator="containsText" text="Critical">
      <formula>NOT(ISERROR(SEARCH(("Critical"),(AI2))))</formula>
    </cfRule>
  </conditionalFormatting>
  <conditionalFormatting sqref="AO2:AO115">
    <cfRule type="containsText" dxfId="12" priority="22" operator="containsText" text="Approved">
      <formula>NOT(ISERROR(SEARCH(("Approved"),(AO2))))</formula>
    </cfRule>
  </conditionalFormatting>
  <conditionalFormatting sqref="AO2:AO115">
    <cfRule type="containsText" dxfId="11" priority="23" operator="containsText" text="Awaiting">
      <formula>NOT(ISERROR(SEARCH(("Awaiting"),(AO2))))</formula>
    </cfRule>
  </conditionalFormatting>
  <conditionalFormatting sqref="AO2:AO115">
    <cfRule type="containsText" dxfId="10" priority="24" operator="containsText" text="Rejected">
      <formula>NOT(ISERROR(SEARCH(("Rejected"),(AO2))))</formula>
    </cfRule>
  </conditionalFormatting>
  <conditionalFormatting sqref="V113:V115">
    <cfRule type="cellIs" dxfId="13" priority="25" operator="lessThan">
      <formula>0.6</formula>
    </cfRule>
  </conditionalFormatting>
  <conditionalFormatting sqref="V113:V115">
    <cfRule type="cellIs" dxfId="14" priority="26" operator="between">
      <formula>0.6</formula>
      <formula>0.75</formula>
    </cfRule>
  </conditionalFormatting>
  <conditionalFormatting sqref="V113:V115">
    <cfRule type="cellIs" dxfId="15" priority="27" operator="greaterThanOrEqual">
      <formula>0.75</formula>
    </cfRule>
  </conditionalFormatting>
  <conditionalFormatting sqref="AR2:AS115">
    <cfRule type="containsText" dxfId="16" priority="28" operator="containsText" text="Paid">
      <formula>NOT(ISERROR(SEARCH(("Paid"),(AR2))))</formula>
    </cfRule>
  </conditionalFormatting>
  <conditionalFormatting sqref="AR2:AS115">
    <cfRule type="containsText" dxfId="17" priority="29" operator="containsText" text="Not Paid">
      <formula>NOT(ISERROR(SEARCH(("Not Paid"),(AR2))))</formula>
    </cfRule>
  </conditionalFormatting>
  <conditionalFormatting sqref="AR2:AS115">
    <cfRule type="containsText" dxfId="18" priority="30" operator="containsText" text="Under Process">
      <formula>NOT(ISERROR(SEARCH(("Under Process"),(AR2))))</formula>
    </cfRule>
  </conditionalFormatting>
  <conditionalFormatting sqref="AR2:AS115">
    <cfRule type="containsText" dxfId="19" priority="31" operator="containsText" text="NA">
      <formula>NOT(ISERROR(SEARCH(("NA"),(AR2))))</formula>
    </cfRule>
  </conditionalFormatting>
  <dataValidations>
    <dataValidation type="list" allowBlank="1" showErrorMessage="1" sqref="U116:U1012">
      <formula1>"Pass,Fail,Pending,Partial"</formula1>
    </dataValidation>
    <dataValidation type="date" allowBlank="1" showInputMessage="1" showErrorMessage="1" prompt="Approval Date - Enter the approval date" sqref="AM2:AM115">
      <formula1>1.0</formula1>
      <formula2>73050.0</formula2>
    </dataValidation>
    <dataValidation type="list" allowBlank="1" showInputMessage="1" prompt="Click and enter a value from the list of items" sqref="AK2:AK1012">
      <formula1>"Harpreet Kaur,Richa Mehta,Mohd Haseen,Vikash Kumar,Nisha Saifi,Others,Naeem "</formula1>
    </dataValidation>
    <dataValidation type="list" allowBlank="1" showInputMessage="1" showErrorMessage="1" prompt="Click and enter a value from the list of items" sqref="U2:U115">
      <formula1>"Uploaded,Not Uploaded,Technical Issue,Other Reason,Not Confirm By Richa Maam"</formula1>
    </dataValidation>
    <dataValidation type="list" allowBlank="1" showErrorMessage="1" sqref="D2:D1012">
      <formula1>"Day 0,Day 1,Day 2,Normal,Day 6,Day,Re Assessment "</formula1>
    </dataValidation>
    <dataValidation type="list" allowBlank="1" showInputMessage="1" showErrorMessage="1" prompt="Approved By - Select approver name from the dropdown" sqref="AL2:AL115">
      <formula1>"Richa Mehta,Mohd Haseen,Vikash Kumar"</formula1>
    </dataValidation>
    <dataValidation type="list" allowBlank="1" showInputMessage="1" showErrorMessage="1" prompt="Approval Decision - Select: Approved, Rejected, Pending Review, or Escalated" sqref="AN2:AN115">
      <formula1>"Approved,Rejected,Pending Review,Escalated"</formula1>
    </dataValidation>
    <dataValidation type="list" allowBlank="1" showInputMessage="1" showErrorMessage="1" prompt="Payment Status - Select payment status from the dropdown" sqref="AR2:AR115">
      <formula1>"Paid,Not Paid,Under Process,NA"</formula1>
    </dataValidation>
    <dataValidation type="custom" allowBlank="1" showDropDown="1" sqref="K2:L1012 T2:T1012">
      <formula1>OR(NOT(ISERROR(DATEVALUE(K2))), AND(ISNUMBER(K2), LEFT(CELL("format", K2))="D"))</formula1>
    </dataValidation>
    <dataValidation type="list" allowBlank="1" showErrorMessage="1" sqref="B2:B115">
      <formula1>'Scheme Master'!$B$4:$B$79</formula1>
    </dataValidation>
    <dataValidation type="custom" allowBlank="1" showDropDown="1" sqref="V2:W1012">
      <formula1>AND(ISNUMBER(V2),(NOT(OR(NOT(ISERROR(DATEVALUE(V2))), AND(ISNUMBER(V2), LEFT(CELL("format", V2))="D")))))</formula1>
    </dataValidation>
  </dataValidations>
  <hyperlinks>
    <hyperlink r:id="rId1" ref="AX2"/>
  </hyperlinks>
  <printOptions/>
  <pageMargins bottom="0.75" footer="0.0" header="0.0" left="0.7" right="0.7" top="0.75"/>
  <pageSetup paperSize="9" orientation="portrait"/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4.0"/>
  </cols>
  <sheetData>
    <row r="1">
      <c r="A1" s="243">
        <v>46121.0</v>
      </c>
      <c r="B1" s="244" t="s">
        <v>607</v>
      </c>
    </row>
    <row r="2">
      <c r="A2" s="243">
        <v>46122.0</v>
      </c>
      <c r="B2" s="244" t="s">
        <v>608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22.0"/>
    <col customWidth="1" min="2" max="2" width="7.43"/>
    <col customWidth="1" min="3" max="3" width="0.71"/>
    <col customWidth="1" min="4" max="4" width="13.86"/>
    <col customWidth="1" min="5" max="5" width="0.71"/>
    <col customWidth="1" min="6" max="6" width="14.71"/>
    <col customWidth="1" min="7" max="7" width="0.71"/>
    <col customWidth="1" min="8" max="9" width="14.43"/>
    <col customWidth="1" min="10" max="10" width="3.29"/>
    <col customWidth="1" min="11" max="11" width="14.0" outlineLevel="1"/>
    <col customWidth="1" min="12" max="12" width="4.14" outlineLevel="1"/>
    <col customWidth="1" min="13" max="13" width="5.57" outlineLevel="1"/>
    <col customWidth="1" min="14" max="14" width="3.86" outlineLevel="1"/>
    <col customWidth="1" min="15" max="15" width="6.57" outlineLevel="1"/>
    <col customWidth="1" min="16" max="16" width="6.43" outlineLevel="1"/>
    <col customWidth="1" min="17" max="26" width="8.71"/>
  </cols>
  <sheetData>
    <row r="1" ht="14.25" customHeight="1">
      <c r="A1" s="245" t="s">
        <v>609</v>
      </c>
      <c r="B1" s="2"/>
      <c r="C1" s="2"/>
      <c r="D1" s="2"/>
      <c r="E1" s="2"/>
      <c r="F1" s="2"/>
      <c r="G1" s="2"/>
      <c r="H1" s="2"/>
      <c r="I1" s="3"/>
      <c r="K1" s="246" t="s">
        <v>610</v>
      </c>
      <c r="L1" s="247"/>
      <c r="M1" s="247"/>
      <c r="N1" s="247"/>
      <c r="O1" s="247"/>
      <c r="P1" s="247"/>
    </row>
    <row r="2" ht="14.25" customHeight="1">
      <c r="K2" s="246" t="s">
        <v>98</v>
      </c>
      <c r="L2" s="246" t="s">
        <v>611</v>
      </c>
      <c r="M2" s="246" t="s">
        <v>612</v>
      </c>
      <c r="N2" s="246" t="s">
        <v>613</v>
      </c>
      <c r="O2" s="246" t="s">
        <v>614</v>
      </c>
      <c r="P2" s="246" t="s">
        <v>615</v>
      </c>
    </row>
    <row r="3" ht="14.25" customHeight="1">
      <c r="A3" s="248" t="s">
        <v>616</v>
      </c>
      <c r="B3" s="2"/>
      <c r="C3" s="2"/>
      <c r="D3" s="2"/>
      <c r="E3" s="2"/>
      <c r="F3" s="2"/>
      <c r="G3" s="2"/>
      <c r="H3" s="2"/>
      <c r="I3" s="3"/>
      <c r="K3" s="247" t="str">
        <f t="shared" ref="K3:L3" si="1">A13</f>
        <v>PMKVY 4.0</v>
      </c>
      <c r="L3" s="249">
        <f t="shared" si="1"/>
        <v>9</v>
      </c>
      <c r="M3" s="249">
        <f t="shared" ref="M3:M8" si="4">D13</f>
        <v>161</v>
      </c>
      <c r="N3" s="250">
        <f t="shared" ref="N3:N8" si="5">F13</f>
        <v>77280</v>
      </c>
      <c r="O3" s="250">
        <f t="shared" ref="O3:P3" si="2">H13</f>
        <v>14000</v>
      </c>
      <c r="P3" s="251">
        <f t="shared" si="2"/>
        <v>63280</v>
      </c>
    </row>
    <row r="4" ht="14.25" customHeight="1">
      <c r="K4" s="247" t="str">
        <f t="shared" ref="K4:L4" si="3">A14</f>
        <v>DDUGKY</v>
      </c>
      <c r="L4" s="249">
        <f t="shared" si="3"/>
        <v>2</v>
      </c>
      <c r="M4" s="249">
        <f t="shared" si="4"/>
        <v>54</v>
      </c>
      <c r="N4" s="250">
        <f t="shared" si="5"/>
        <v>38880</v>
      </c>
      <c r="O4" s="250">
        <f t="shared" ref="O4:P4" si="6">H14</f>
        <v>0</v>
      </c>
      <c r="P4" s="251">
        <f t="shared" si="6"/>
        <v>38880</v>
      </c>
    </row>
    <row r="5" ht="14.25" customHeight="1">
      <c r="A5" s="252" t="s">
        <v>617</v>
      </c>
      <c r="B5" s="253">
        <f>COUNTA('Assessment Tracker'!A2:A115)</f>
        <v>114</v>
      </c>
      <c r="D5" s="254" t="s">
        <v>108</v>
      </c>
      <c r="F5" s="255" t="s">
        <v>117</v>
      </c>
      <c r="H5" s="255" t="s">
        <v>123</v>
      </c>
      <c r="K5" s="247" t="str">
        <f t="shared" ref="K5:L5" si="7">A15</f>
        <v>ODOP-RPL</v>
      </c>
      <c r="L5" s="249">
        <f t="shared" si="7"/>
        <v>8</v>
      </c>
      <c r="M5" s="249">
        <f t="shared" si="4"/>
        <v>188</v>
      </c>
      <c r="N5" s="250">
        <f t="shared" si="5"/>
        <v>101520</v>
      </c>
      <c r="O5" s="250">
        <f t="shared" ref="O5:P5" si="8">H15</f>
        <v>7690</v>
      </c>
      <c r="P5" s="251">
        <f t="shared" si="8"/>
        <v>93830</v>
      </c>
    </row>
    <row r="6" ht="14.25" customHeight="1">
      <c r="A6" s="256"/>
      <c r="B6" s="257"/>
      <c r="D6" s="258"/>
      <c r="F6" s="259"/>
      <c r="H6" s="259"/>
      <c r="K6" s="247" t="str">
        <f t="shared" ref="K6:L6" si="9">A16</f>
        <v>#REF!</v>
      </c>
      <c r="L6" s="249">
        <f t="shared" si="9"/>
        <v>0</v>
      </c>
      <c r="M6" s="249">
        <f t="shared" si="4"/>
        <v>0</v>
      </c>
      <c r="N6" s="250">
        <f t="shared" si="5"/>
        <v>0</v>
      </c>
      <c r="O6" s="250">
        <f t="shared" ref="O6:P6" si="10">H16</f>
        <v>0</v>
      </c>
      <c r="P6" s="251">
        <f t="shared" si="10"/>
        <v>0</v>
      </c>
    </row>
    <row r="7" ht="14.25" customHeight="1">
      <c r="A7" s="260"/>
      <c r="B7" s="261"/>
      <c r="D7" s="262">
        <f>SUM('Assessment Tracker'!N2:N115)</f>
        <v>1501</v>
      </c>
      <c r="F7" s="263">
        <f>IFERROR(SUM('Assessment Tracker'!R2:R115)/SUM('Assessment Tracker'!N2:N115),0)</f>
        <v>0.9753497668</v>
      </c>
      <c r="H7" s="264">
        <f>SUM('Assessment Tracker'!AC2:AC115)</f>
        <v>670400</v>
      </c>
      <c r="K7" s="247" t="str">
        <f t="shared" ref="K7:L7" si="11">A17</f>
        <v>BSDMA-RPL</v>
      </c>
      <c r="L7" s="249">
        <f t="shared" si="11"/>
        <v>4</v>
      </c>
      <c r="M7" s="249">
        <f t="shared" si="4"/>
        <v>103</v>
      </c>
      <c r="N7" s="250">
        <f t="shared" si="5"/>
        <v>55620</v>
      </c>
      <c r="O7" s="250">
        <f t="shared" ref="O7:P7" si="12">H17</f>
        <v>4000</v>
      </c>
      <c r="P7" s="251">
        <f t="shared" si="12"/>
        <v>51620</v>
      </c>
    </row>
    <row r="8" ht="14.25" customHeight="1">
      <c r="A8" s="265" t="s">
        <v>618</v>
      </c>
      <c r="B8" s="266">
        <f>SUM('Assessment Tracker'!R2:R115)</f>
        <v>1464</v>
      </c>
      <c r="D8" s="267" t="s">
        <v>619</v>
      </c>
      <c r="F8" s="267" t="s">
        <v>620</v>
      </c>
      <c r="H8" s="254" t="s">
        <v>621</v>
      </c>
      <c r="K8" s="247" t="str">
        <f t="shared" ref="K8:L8" si="13">A18</f>
        <v>PMAY-G-STT</v>
      </c>
      <c r="L8" s="249">
        <f t="shared" si="13"/>
        <v>9</v>
      </c>
      <c r="M8" s="249">
        <f t="shared" si="4"/>
        <v>103</v>
      </c>
      <c r="N8" s="250">
        <f t="shared" si="5"/>
        <v>74160</v>
      </c>
      <c r="O8" s="250">
        <f t="shared" ref="O8:P8" si="14">H18</f>
        <v>0</v>
      </c>
      <c r="P8" s="251">
        <f t="shared" si="14"/>
        <v>74160</v>
      </c>
    </row>
    <row r="9" ht="14.25" customHeight="1">
      <c r="A9" s="268"/>
      <c r="B9" s="269"/>
      <c r="D9" s="270">
        <f>SUM('Assessment Tracker'!S2:S115)</f>
        <v>13</v>
      </c>
      <c r="F9" s="271">
        <f>SUM('Assessment Tracker'!AF2:AF115)</f>
        <v>73090</v>
      </c>
      <c r="H9" s="272">
        <f>H7-F9</f>
        <v>597310</v>
      </c>
      <c r="K9" s="247"/>
      <c r="L9" s="247"/>
      <c r="M9" s="247"/>
      <c r="N9" s="247"/>
      <c r="O9" s="247"/>
      <c r="P9" s="247"/>
    </row>
    <row r="10" ht="14.25" customHeight="1">
      <c r="K10" s="246" t="s">
        <v>622</v>
      </c>
      <c r="L10" s="247"/>
      <c r="M10" s="247"/>
      <c r="N10" s="247"/>
      <c r="O10" s="247"/>
      <c r="P10" s="247"/>
    </row>
    <row r="11" ht="14.25" customHeight="1">
      <c r="A11" s="273" t="s">
        <v>623</v>
      </c>
      <c r="B11" s="2"/>
      <c r="C11" s="2"/>
      <c r="D11" s="2"/>
      <c r="E11" s="2"/>
      <c r="F11" s="2"/>
      <c r="G11" s="2"/>
      <c r="H11" s="2"/>
      <c r="I11" s="3"/>
      <c r="K11" s="246" t="s">
        <v>624</v>
      </c>
      <c r="L11" s="246" t="s">
        <v>611</v>
      </c>
      <c r="M11" s="246" t="s">
        <v>612</v>
      </c>
      <c r="N11" s="246" t="s">
        <v>113</v>
      </c>
      <c r="O11" s="246" t="s">
        <v>117</v>
      </c>
      <c r="P11" s="246" t="s">
        <v>625</v>
      </c>
    </row>
    <row r="12" ht="14.25" customHeight="1">
      <c r="A12" s="274" t="s">
        <v>98</v>
      </c>
      <c r="B12" s="275" t="s">
        <v>611</v>
      </c>
      <c r="C12" s="276"/>
      <c r="D12" s="275" t="s">
        <v>612</v>
      </c>
      <c r="E12" s="276"/>
      <c r="F12" s="275" t="s">
        <v>626</v>
      </c>
      <c r="G12" s="276"/>
      <c r="H12" s="275" t="s">
        <v>627</v>
      </c>
      <c r="I12" s="277" t="s">
        <v>628</v>
      </c>
      <c r="K12" s="247" t="str">
        <f t="shared" ref="K12:L12" si="15">A22</f>
        <v>Mohd Haseen</v>
      </c>
      <c r="L12" s="249">
        <f t="shared" si="15"/>
        <v>0</v>
      </c>
      <c r="M12" s="249">
        <f t="shared" ref="M12:M13" si="18">D22</f>
        <v>0</v>
      </c>
      <c r="N12" s="249">
        <f t="shared" ref="N12:N13" si="19">F22</f>
        <v>0</v>
      </c>
      <c r="O12" s="278">
        <f t="shared" ref="O12:P12" si="16">H22</f>
        <v>0</v>
      </c>
      <c r="P12" s="250">
        <f t="shared" si="16"/>
        <v>0</v>
      </c>
    </row>
    <row r="13" ht="14.25" customHeight="1">
      <c r="A13" s="279" t="str">
        <f>'Scheme Master'!B4</f>
        <v>PMKVY 4.0</v>
      </c>
      <c r="B13" s="280">
        <f>COUNTIF('Assessment Tracker'!B2:B115,A13)</f>
        <v>9</v>
      </c>
      <c r="C13" s="281"/>
      <c r="D13" s="280">
        <f>SUMIF('Assessment Tracker'!B2:B115,A13,'Assessment Tracker'!N2:N115)</f>
        <v>161</v>
      </c>
      <c r="E13" s="281"/>
      <c r="F13" s="282">
        <f>SUMIF('Assessment Tracker'!B2:B115,A13,'Assessment Tracker'!AC2:AC115)</f>
        <v>77280</v>
      </c>
      <c r="G13" s="281"/>
      <c r="H13" s="282">
        <f>SUMIF('Assessment Tracker'!B2:B115,A13,'Assessment Tracker'!AF2:AF115)</f>
        <v>14000</v>
      </c>
      <c r="I13" s="283">
        <f t="shared" ref="I13:I18" si="21">F13-H13</f>
        <v>63280</v>
      </c>
      <c r="K13" s="247" t="str">
        <f t="shared" ref="K13:L13" si="17">A23</f>
        <v>Ram Assessor</v>
      </c>
      <c r="L13" s="249">
        <f t="shared" si="17"/>
        <v>0</v>
      </c>
      <c r="M13" s="249">
        <f t="shared" si="18"/>
        <v>0</v>
      </c>
      <c r="N13" s="249">
        <f t="shared" si="19"/>
        <v>0</v>
      </c>
      <c r="O13" s="278">
        <f t="shared" ref="O13:P13" si="20">H23</f>
        <v>0</v>
      </c>
      <c r="P13" s="250">
        <f t="shared" si="20"/>
        <v>0</v>
      </c>
    </row>
    <row r="14" ht="14.25" customHeight="1">
      <c r="A14" s="284" t="str">
        <f>'Scheme Master'!B5</f>
        <v>DDUGKY</v>
      </c>
      <c r="B14" s="285">
        <f>COUNTIF('Assessment Tracker'!B2:B115,A14)</f>
        <v>2</v>
      </c>
      <c r="C14" s="281"/>
      <c r="D14" s="285">
        <f>SUMIF('Assessment Tracker'!B2:B115,A14,'Assessment Tracker'!N2:N115)</f>
        <v>54</v>
      </c>
      <c r="E14" s="281"/>
      <c r="F14" s="286">
        <f>SUMIF('Assessment Tracker'!B2:B115,A14,'Assessment Tracker'!AC2:AC115)</f>
        <v>38880</v>
      </c>
      <c r="G14" s="281"/>
      <c r="H14" s="286">
        <f>SUMIF('Assessment Tracker'!B2:B115,A14,'Assessment Tracker'!AF2:AF115)</f>
        <v>0</v>
      </c>
      <c r="I14" s="287">
        <f t="shared" si="21"/>
        <v>38880</v>
      </c>
      <c r="K14" s="247"/>
      <c r="L14" s="247"/>
      <c r="M14" s="247"/>
      <c r="N14" s="247"/>
      <c r="O14" s="247"/>
      <c r="P14" s="247"/>
    </row>
    <row r="15" ht="14.25" customHeight="1">
      <c r="A15" s="279" t="str">
        <f>'Scheme Master'!B6</f>
        <v>ODOP-RPL</v>
      </c>
      <c r="B15" s="280">
        <f>COUNTIF('Assessment Tracker'!B2:B115,A15)</f>
        <v>8</v>
      </c>
      <c r="C15" s="281"/>
      <c r="D15" s="280">
        <f>SUMIF('Assessment Tracker'!B2:B115,A15,'Assessment Tracker'!N2:N115)</f>
        <v>188</v>
      </c>
      <c r="E15" s="281"/>
      <c r="F15" s="282">
        <f>SUMIF('Assessment Tracker'!B2:B115,A15,'Assessment Tracker'!AC2:AC115)</f>
        <v>101520</v>
      </c>
      <c r="G15" s="281"/>
      <c r="H15" s="282">
        <f>SUMIF('Assessment Tracker'!B2:B115,A15,'Assessment Tracker'!AF2:AF115)</f>
        <v>7690</v>
      </c>
      <c r="I15" s="283">
        <f t="shared" si="21"/>
        <v>93830</v>
      </c>
      <c r="K15" s="246" t="s">
        <v>629</v>
      </c>
      <c r="L15" s="247"/>
      <c r="M15" s="247"/>
      <c r="N15" s="247"/>
      <c r="O15" s="247"/>
      <c r="P15" s="247"/>
    </row>
    <row r="16" ht="14.25" customHeight="1">
      <c r="A16" s="279" t="str">
        <f>#REF!</f>
        <v>#REF!</v>
      </c>
      <c r="B16" s="280">
        <f>COUNTIF('Assessment Tracker'!B2:B115,A16)</f>
        <v>0</v>
      </c>
      <c r="C16" s="281"/>
      <c r="D16" s="280">
        <f>SUMIF('Assessment Tracker'!B2:B115,A16,'Assessment Tracker'!N2:N115)</f>
        <v>0</v>
      </c>
      <c r="E16" s="281"/>
      <c r="F16" s="282">
        <f>SUMIF('Assessment Tracker'!B2:B115,A16,'Assessment Tracker'!AC2:AC115)</f>
        <v>0</v>
      </c>
      <c r="G16" s="281"/>
      <c r="H16" s="282">
        <f>SUMIF('Assessment Tracker'!B2:B115,A16,'Assessment Tracker'!AF2:AF115)</f>
        <v>0</v>
      </c>
      <c r="I16" s="283">
        <f t="shared" si="21"/>
        <v>0</v>
      </c>
      <c r="K16" s="246"/>
      <c r="L16" s="247"/>
      <c r="M16" s="247"/>
      <c r="N16" s="247"/>
      <c r="O16" s="247"/>
      <c r="P16" s="247"/>
    </row>
    <row r="17" ht="14.25" customHeight="1">
      <c r="A17" s="284" t="str">
        <f>'Scheme Master'!B7</f>
        <v>BSDMA-RPL</v>
      </c>
      <c r="B17" s="285">
        <f>COUNTIF('Assessment Tracker'!B2:B115,A17)</f>
        <v>4</v>
      </c>
      <c r="C17" s="281"/>
      <c r="D17" s="285">
        <f>SUMIF('Assessment Tracker'!B2:B115,A17,'Assessment Tracker'!N2:N115)</f>
        <v>103</v>
      </c>
      <c r="E17" s="281"/>
      <c r="F17" s="286">
        <f>SUMIF('Assessment Tracker'!B2:B115,A17,'Assessment Tracker'!AC2:AC115)</f>
        <v>55620</v>
      </c>
      <c r="G17" s="281"/>
      <c r="H17" s="286">
        <f>SUMIF('Assessment Tracker'!B2:B115,A17,'Assessment Tracker'!AF2:AF115)</f>
        <v>4000</v>
      </c>
      <c r="I17" s="287">
        <f t="shared" si="21"/>
        <v>51620</v>
      </c>
      <c r="K17" s="246" t="s">
        <v>5</v>
      </c>
      <c r="L17" s="246" t="s">
        <v>630</v>
      </c>
      <c r="M17" s="247"/>
      <c r="N17" s="247"/>
      <c r="O17" s="247"/>
      <c r="P17" s="247"/>
    </row>
    <row r="18" ht="14.25" customHeight="1">
      <c r="A18" s="288" t="str">
        <f>'Scheme Master'!B8</f>
        <v>PMAY-G-STT</v>
      </c>
      <c r="B18" s="289">
        <f>COUNTIF('Assessment Tracker'!B2:B115,A18)</f>
        <v>9</v>
      </c>
      <c r="C18" s="290"/>
      <c r="D18" s="289">
        <f>SUMIF('Assessment Tracker'!B2:B115,A18,'Assessment Tracker'!N2:N115)</f>
        <v>103</v>
      </c>
      <c r="E18" s="290"/>
      <c r="F18" s="291">
        <f>SUMIF('Assessment Tracker'!B2:B115,A18,'Assessment Tracker'!AC2:AC115)</f>
        <v>74160</v>
      </c>
      <c r="G18" s="290"/>
      <c r="H18" s="291">
        <f>SUMIF('Assessment Tracker'!B2:B115,A18,'Assessment Tracker'!AF2:AF115)</f>
        <v>0</v>
      </c>
      <c r="I18" s="292">
        <f t="shared" si="21"/>
        <v>74160</v>
      </c>
      <c r="K18" s="247" t="s">
        <v>631</v>
      </c>
      <c r="L18" s="249">
        <f t="shared" ref="L18:L20" si="22">B27</f>
        <v>27</v>
      </c>
      <c r="M18" s="247"/>
      <c r="N18" s="247"/>
      <c r="O18" s="247"/>
      <c r="P18" s="247"/>
    </row>
    <row r="19" ht="14.25" customHeight="1">
      <c r="K19" s="247" t="s">
        <v>632</v>
      </c>
      <c r="L19" s="249">
        <f t="shared" si="22"/>
        <v>4</v>
      </c>
      <c r="M19" s="247"/>
      <c r="N19" s="247"/>
      <c r="O19" s="247"/>
      <c r="P19" s="247"/>
    </row>
    <row r="20" ht="14.25" customHeight="1">
      <c r="A20" s="273" t="s">
        <v>633</v>
      </c>
      <c r="B20" s="2"/>
      <c r="C20" s="2"/>
      <c r="D20" s="2"/>
      <c r="E20" s="2"/>
      <c r="F20" s="2"/>
      <c r="G20" s="2"/>
      <c r="H20" s="2"/>
      <c r="I20" s="3"/>
      <c r="K20" s="247" t="s">
        <v>634</v>
      </c>
      <c r="L20" s="249">
        <f t="shared" si="22"/>
        <v>0</v>
      </c>
      <c r="M20" s="247"/>
      <c r="N20" s="247"/>
      <c r="O20" s="247"/>
      <c r="P20" s="247"/>
    </row>
    <row r="21" ht="14.25" customHeight="1">
      <c r="A21" s="274" t="s">
        <v>71</v>
      </c>
      <c r="B21" s="275" t="s">
        <v>611</v>
      </c>
      <c r="C21" s="276"/>
      <c r="D21" s="275" t="s">
        <v>612</v>
      </c>
      <c r="E21" s="276"/>
      <c r="F21" s="275" t="s">
        <v>113</v>
      </c>
      <c r="G21" s="276"/>
      <c r="H21" s="275" t="s">
        <v>117</v>
      </c>
      <c r="I21" s="277" t="s">
        <v>124</v>
      </c>
      <c r="K21" s="247"/>
      <c r="L21" s="247"/>
      <c r="M21" s="247"/>
      <c r="N21" s="247"/>
      <c r="O21" s="247"/>
      <c r="P21" s="247"/>
    </row>
    <row r="22" ht="14.25" customHeight="1">
      <c r="A22" s="279" t="s">
        <v>635</v>
      </c>
      <c r="B22" s="280">
        <f>COUNTIF('Assessment Tracker'!X2:X115,"*Haseen*")</f>
        <v>0</v>
      </c>
      <c r="C22" s="281"/>
      <c r="D22" s="280">
        <f t="array" ref="D22">SUMPRODUCT((ISNUMBER(SEARCH("Haseen",'Assessment Tracker'!X2:X115)))*('Assessment Tracker'!N2:N115))</f>
        <v>0</v>
      </c>
      <c r="E22" s="281"/>
      <c r="F22" s="280">
        <f t="array" ref="F22">SUMPRODUCT((ISNUMBER(SEARCH("Haseen",'Assessment Tracker'!X2:X115)))*('Assessment Tracker'!R2:R115))</f>
        <v>0</v>
      </c>
      <c r="G22" s="281"/>
      <c r="H22" s="293">
        <f t="shared" ref="H22:H23" si="23">IFERROR(F22/D22,0)</f>
        <v>0</v>
      </c>
      <c r="I22" s="294">
        <f t="array" ref="I22">SUMPRODUCT((ISNUMBER(SEARCH("Haseen",'Assessment Tracker'!X2:X115)))*('Assessment Tracker'!AD2:AD115))</f>
        <v>0</v>
      </c>
      <c r="K22" s="246" t="s">
        <v>636</v>
      </c>
      <c r="L22" s="247"/>
      <c r="M22" s="247"/>
      <c r="N22" s="247"/>
      <c r="O22" s="247"/>
      <c r="P22" s="247"/>
    </row>
    <row r="23" ht="14.25" customHeight="1">
      <c r="A23" s="295" t="s">
        <v>637</v>
      </c>
      <c r="B23" s="296">
        <f>COUNTIF('Assessment Tracker'!X2:X115,A23)</f>
        <v>0</v>
      </c>
      <c r="C23" s="290"/>
      <c r="D23" s="296">
        <f>SUMIF('Assessment Tracker'!X2:X115,A23,'Assessment Tracker'!N2:N115)</f>
        <v>0</v>
      </c>
      <c r="E23" s="290"/>
      <c r="F23" s="296">
        <f>SUMIF('Assessment Tracker'!X2:X115,A23,'Assessment Tracker'!R2:R115)</f>
        <v>0</v>
      </c>
      <c r="G23" s="290"/>
      <c r="H23" s="297">
        <f t="shared" si="23"/>
        <v>0</v>
      </c>
      <c r="I23" s="298">
        <f>SUMIF('Assessment Tracker'!X2:X115,A23,'Assessment Tracker'!AD2:AD115)</f>
        <v>0</v>
      </c>
      <c r="K23" s="246" t="s">
        <v>116</v>
      </c>
      <c r="L23" s="246" t="s">
        <v>630</v>
      </c>
      <c r="M23" s="247"/>
      <c r="N23" s="247"/>
      <c r="O23" s="247"/>
      <c r="P23" s="247"/>
    </row>
    <row r="24" ht="14.25" customHeight="1">
      <c r="K24" s="247" t="s">
        <v>113</v>
      </c>
      <c r="L24" s="249">
        <f>B8</f>
        <v>1464</v>
      </c>
      <c r="M24" s="247"/>
      <c r="N24" s="247"/>
      <c r="O24" s="247"/>
      <c r="P24" s="247"/>
    </row>
    <row r="25" ht="14.25" customHeight="1">
      <c r="A25" s="273" t="s">
        <v>638</v>
      </c>
      <c r="B25" s="2"/>
      <c r="C25" s="2"/>
      <c r="D25" s="3"/>
      <c r="F25" s="273" t="s">
        <v>639</v>
      </c>
      <c r="G25" s="2"/>
      <c r="H25" s="2"/>
      <c r="I25" s="3"/>
      <c r="K25" s="247" t="s">
        <v>114</v>
      </c>
      <c r="L25" s="249">
        <f>SUM('Assessment Tracker'!S2:S115)</f>
        <v>13</v>
      </c>
      <c r="M25" s="247"/>
      <c r="N25" s="247"/>
      <c r="O25" s="247"/>
      <c r="P25" s="247"/>
    </row>
    <row r="26" ht="14.25" customHeight="1">
      <c r="A26" s="274" t="s">
        <v>5</v>
      </c>
      <c r="B26" s="277" t="s">
        <v>630</v>
      </c>
      <c r="F26" s="274" t="s">
        <v>98</v>
      </c>
      <c r="G26" s="299"/>
      <c r="H26" s="275" t="s">
        <v>128</v>
      </c>
      <c r="I26" s="277" t="s">
        <v>5</v>
      </c>
    </row>
    <row r="27" ht="14.25" customHeight="1">
      <c r="A27" s="300" t="s">
        <v>640</v>
      </c>
      <c r="B27" s="301">
        <f>COUNTIF('Assessment Tracker'!AI2:AI115,"*Auto*")</f>
        <v>27</v>
      </c>
      <c r="F27" s="279" t="str">
        <f t="shared" ref="F27:F32" si="24">A13</f>
        <v>PMKVY 4.0</v>
      </c>
      <c r="G27" s="281"/>
      <c r="H27" s="293">
        <f t="shared" ref="H27:H32" si="25">IFERROR(H13/F13,0)</f>
        <v>0.1811594203</v>
      </c>
      <c r="I27" s="302" t="str">
        <f t="shared" ref="I27:I32" si="26">IF(H27&gt;0.5,"🔴 Over Budget",IF(H27&gt;0.4,"⚠️ Warning","✅ Healthy"))</f>
        <v>✅ Healthy</v>
      </c>
    </row>
    <row r="28" ht="14.25" customHeight="1">
      <c r="A28" s="303" t="s">
        <v>641</v>
      </c>
      <c r="B28" s="304">
        <f>COUNTIF('Assessment Tracker'!AI2:AI115,"*Approval Required*")</f>
        <v>4</v>
      </c>
      <c r="F28" s="284" t="str">
        <f t="shared" si="24"/>
        <v>DDUGKY</v>
      </c>
      <c r="G28" s="281"/>
      <c r="H28" s="305">
        <f t="shared" si="25"/>
        <v>0</v>
      </c>
      <c r="I28" s="306" t="str">
        <f t="shared" si="26"/>
        <v>✅ Healthy</v>
      </c>
    </row>
    <row r="29" ht="14.25" customHeight="1">
      <c r="A29" s="307" t="s">
        <v>642</v>
      </c>
      <c r="B29" s="308">
        <f>COUNTIF('Assessment Tracker'!AI2:AI115,"*Critical*")</f>
        <v>0</v>
      </c>
      <c r="F29" s="279" t="str">
        <f t="shared" si="24"/>
        <v>ODOP-RPL</v>
      </c>
      <c r="G29" s="281"/>
      <c r="H29" s="293">
        <f t="shared" si="25"/>
        <v>0.07574862096</v>
      </c>
      <c r="I29" s="302" t="str">
        <f t="shared" si="26"/>
        <v>✅ Healthy</v>
      </c>
    </row>
    <row r="30" ht="14.25" customHeight="1">
      <c r="A30" s="309"/>
      <c r="B30" s="310"/>
      <c r="F30" s="279" t="str">
        <f t="shared" si="24"/>
        <v>#REF!</v>
      </c>
      <c r="G30" s="281"/>
      <c r="H30" s="293">
        <f t="shared" si="25"/>
        <v>0</v>
      </c>
      <c r="I30" s="302" t="str">
        <f t="shared" si="26"/>
        <v>✅ Healthy</v>
      </c>
    </row>
    <row r="31" ht="14.25" customHeight="1">
      <c r="F31" s="284" t="str">
        <f t="shared" si="24"/>
        <v>BSDMA-RPL</v>
      </c>
      <c r="G31" s="281"/>
      <c r="H31" s="305">
        <f t="shared" si="25"/>
        <v>0.07191657677</v>
      </c>
      <c r="I31" s="306" t="str">
        <f t="shared" si="26"/>
        <v>✅ Healthy</v>
      </c>
    </row>
    <row r="32" ht="14.25" customHeight="1">
      <c r="F32" s="288" t="str">
        <f t="shared" si="24"/>
        <v>PMAY-G-STT</v>
      </c>
      <c r="G32" s="290"/>
      <c r="H32" s="311">
        <f t="shared" si="25"/>
        <v>0</v>
      </c>
      <c r="I32" s="312" t="str">
        <f t="shared" si="26"/>
        <v>✅ Healthy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I1"/>
    <mergeCell ref="A3:I3"/>
    <mergeCell ref="A11:I11"/>
    <mergeCell ref="A20:I20"/>
    <mergeCell ref="A25:D25"/>
    <mergeCell ref="F25:I25"/>
  </mergeCells>
  <printOptions/>
  <pageMargins bottom="0.75" footer="0.0" header="0.0" left="0.7" right="0.7" top="0.75"/>
  <pageSetup orientation="landscape"/>
  <drawing r:id="rId1"/>
</worksheet>
</file>